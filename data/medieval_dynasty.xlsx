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oscar\dev\personal\craftmans-ledger\docs\data\"/>
    </mc:Choice>
  </mc:AlternateContent>
  <xr:revisionPtr revIDLastSave="0" documentId="13_ncr:1_{C60F8234-79FE-4E99-ADEF-4324D2F4CC92}" xr6:coauthVersionLast="47" xr6:coauthVersionMax="47" xr10:uidLastSave="{00000000-0000-0000-0000-000000000000}"/>
  <bookViews>
    <workbookView xWindow="38280" yWindow="-120" windowWidth="38640" windowHeight="21120" activeTab="1" xr2:uid="{7FA3DDC5-B508-4716-B2FE-7E70B4803FC2}"/>
  </bookViews>
  <sheets>
    <sheet name="Items" sheetId="5" r:id="rId1"/>
    <sheet name="Recipes" sheetId="7" r:id="rId2"/>
    <sheet name="Technology Trees" sheetId="8" r:id="rId3"/>
    <sheet name="Buildings" sheetId="10" r:id="rId4"/>
  </sheets>
  <definedNames>
    <definedName name="item_category_names">item_categories[Name]</definedName>
    <definedName name="item_names">items[Name]</definedName>
    <definedName name="recipe_ids">recipes[ID]</definedName>
    <definedName name="recipe_output_items">recipe_outputs[Item]</definedName>
    <definedName name="recipe_output_recipe_ids">recipe_outputs[Recipe ID]</definedName>
    <definedName name="recipe_scheme_item">recipe_schemes[Item]</definedName>
    <definedName name="recipe_scheme_tech_points">recipe_schemes[Tech Points]</definedName>
    <definedName name="recipe_scheme_tech_tree">recipe_schemes[Tech Tree]</definedName>
    <definedName name="tech_tree_current_points">tech_trees[Current Points]</definedName>
    <definedName name="tech_tree_names">tech_trees[Name]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7" l="1"/>
  <c r="K3" i="7" a="1"/>
  <c r="K3" i="7" s="1"/>
  <c r="C6" i="8"/>
  <c r="C7" i="8"/>
  <c r="C8" i="8"/>
  <c r="C9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<sst xmlns="http://schemas.openxmlformats.org/spreadsheetml/2006/main" count="959" uniqueCount="244">
  <si>
    <t>Items</t>
  </si>
  <si>
    <t>ID</t>
  </si>
  <si>
    <t>Name</t>
  </si>
  <si>
    <t>Price</t>
  </si>
  <si>
    <t>Weight</t>
  </si>
  <si>
    <t>Wooden Hammer</t>
  </si>
  <si>
    <t>Wooden Shovel</t>
  </si>
  <si>
    <t>Wooden Hoe</t>
  </si>
  <si>
    <t>Stone Axe</t>
  </si>
  <si>
    <t>Stone Pickaxe</t>
  </si>
  <si>
    <t>Stone Knife</t>
  </si>
  <si>
    <t>Stone Sickle</t>
  </si>
  <si>
    <t>Wooden Spear</t>
  </si>
  <si>
    <t>Log</t>
  </si>
  <si>
    <t>Stick</t>
  </si>
  <si>
    <t>Stone</t>
  </si>
  <si>
    <t>Leather</t>
  </si>
  <si>
    <t>Recipe Inputs</t>
  </si>
  <si>
    <t>Crafting time</t>
  </si>
  <si>
    <t>Recipe Outputs</t>
  </si>
  <si>
    <t>Recipe ID</t>
  </si>
  <si>
    <t>Quantity</t>
  </si>
  <si>
    <t>Straw</t>
  </si>
  <si>
    <t>Firewood</t>
  </si>
  <si>
    <t>Meat</t>
  </si>
  <si>
    <t>Fish Meat</t>
  </si>
  <si>
    <t>Roasted Meat</t>
  </si>
  <si>
    <t>Roasted Fish Meat</t>
  </si>
  <si>
    <t>Ash</t>
  </si>
  <si>
    <t>Salted Meat</t>
  </si>
  <si>
    <t>Salted Fish Meat</t>
  </si>
  <si>
    <t>Perch</t>
  </si>
  <si>
    <t>Pike</t>
  </si>
  <si>
    <t>Roach</t>
  </si>
  <si>
    <t>Item</t>
  </si>
  <si>
    <t>Simple Bag</t>
  </si>
  <si>
    <t>Simple Torch</t>
  </si>
  <si>
    <t>Snowball</t>
  </si>
  <si>
    <t>Recipes</t>
  </si>
  <si>
    <t>Technology Trees</t>
  </si>
  <si>
    <t>Building</t>
  </si>
  <si>
    <t>Farming</t>
  </si>
  <si>
    <t>Survival</t>
  </si>
  <si>
    <t>Production</t>
  </si>
  <si>
    <t>Tech Tree</t>
  </si>
  <si>
    <t>Tech Points</t>
  </si>
  <si>
    <t>Buildings</t>
  </si>
  <si>
    <t>Well</t>
  </si>
  <si>
    <t>Resource Storage I</t>
  </si>
  <si>
    <t>Simple House</t>
  </si>
  <si>
    <t>Excavation Shed</t>
  </si>
  <si>
    <t>Resource Storage II</t>
  </si>
  <si>
    <t>House</t>
  </si>
  <si>
    <t>Woodshed II</t>
  </si>
  <si>
    <t>Woodshed I</t>
  </si>
  <si>
    <t>Mine</t>
  </si>
  <si>
    <t>Builder's Hut</t>
  </si>
  <si>
    <t>Resource Storage III</t>
  </si>
  <si>
    <t>Hunting Lodge I</t>
  </si>
  <si>
    <t>Herbalist's Hut I</t>
  </si>
  <si>
    <t>Fishing Hut I</t>
  </si>
  <si>
    <t>Hunting Lodge II</t>
  </si>
  <si>
    <t>Herbalist's Hut II</t>
  </si>
  <si>
    <t>Fishing Hut II</t>
  </si>
  <si>
    <t>Food Storage I</t>
  </si>
  <si>
    <t>Barn I</t>
  </si>
  <si>
    <t>Farm Shed</t>
  </si>
  <si>
    <t>Henhouse</t>
  </si>
  <si>
    <t>Pigsty</t>
  </si>
  <si>
    <t>Donkey Shelter</t>
  </si>
  <si>
    <t>Goose House</t>
  </si>
  <si>
    <t>Food Storage II</t>
  </si>
  <si>
    <t>Barn II</t>
  </si>
  <si>
    <t>Stable</t>
  </si>
  <si>
    <t>Fold</t>
  </si>
  <si>
    <t>Cowshed</t>
  </si>
  <si>
    <t>Apiary</t>
  </si>
  <si>
    <t>Food Storage III</t>
  </si>
  <si>
    <t>Barn III</t>
  </si>
  <si>
    <t>Windmill</t>
  </si>
  <si>
    <t>Workshop I</t>
  </si>
  <si>
    <t>Kitchen I</t>
  </si>
  <si>
    <t>Smithy I</t>
  </si>
  <si>
    <t>Sewing Hut I</t>
  </si>
  <si>
    <t>Workshop II</t>
  </si>
  <si>
    <t>Smithy II</t>
  </si>
  <si>
    <t>Sewing Hut II</t>
  </si>
  <si>
    <t>Kitchen II</t>
  </si>
  <si>
    <t>Market Stall</t>
  </si>
  <si>
    <t>Workshop III</t>
  </si>
  <si>
    <t>Smithy III</t>
  </si>
  <si>
    <t>Sewing Hut III</t>
  </si>
  <si>
    <t>Tavern</t>
  </si>
  <si>
    <t>Recipe Schemes</t>
  </si>
  <si>
    <t>Unlock Cost</t>
  </si>
  <si>
    <t>Plank</t>
  </si>
  <si>
    <t>Waterskin</t>
  </si>
  <si>
    <t>Waterskin with Water</t>
  </si>
  <si>
    <t>Bucket</t>
  </si>
  <si>
    <t>Bucket with Water</t>
  </si>
  <si>
    <t>Wheat</t>
  </si>
  <si>
    <t>Wheat Grain</t>
  </si>
  <si>
    <t>Oat</t>
  </si>
  <si>
    <t>Oat Grain</t>
  </si>
  <si>
    <t>Rye</t>
  </si>
  <si>
    <t>Rye Grain</t>
  </si>
  <si>
    <t>Flax</t>
  </si>
  <si>
    <t>Flax Seed</t>
  </si>
  <si>
    <t>Flax Stalk</t>
  </si>
  <si>
    <t>Flour</t>
  </si>
  <si>
    <t>Daub</t>
  </si>
  <si>
    <t>Animal Feed</t>
  </si>
  <si>
    <t>Rot</t>
  </si>
  <si>
    <t>Poppy</t>
  </si>
  <si>
    <t>Poppy Seed</t>
  </si>
  <si>
    <t>Manure</t>
  </si>
  <si>
    <t>Fertilizer</t>
  </si>
  <si>
    <t>Item Categories</t>
  </si>
  <si>
    <t>Tools</t>
  </si>
  <si>
    <t>Clothes</t>
  </si>
  <si>
    <t>Consumable</t>
  </si>
  <si>
    <t>Crafting</t>
  </si>
  <si>
    <t>Miscellaneous</t>
  </si>
  <si>
    <t>Category</t>
  </si>
  <si>
    <t>Clay</t>
  </si>
  <si>
    <t>Small Wicker Basket</t>
  </si>
  <si>
    <t>Wooden Bowl</t>
  </si>
  <si>
    <t>Wooden Cup</t>
  </si>
  <si>
    <t>Wooden Plate</t>
  </si>
  <si>
    <t>Wooden Ladle</t>
  </si>
  <si>
    <t>Wooden Spoon</t>
  </si>
  <si>
    <t>Wooden Vial</t>
  </si>
  <si>
    <t>Torch</t>
  </si>
  <si>
    <t>Stone Spear</t>
  </si>
  <si>
    <t>Bow</t>
  </si>
  <si>
    <t>Stone Arrow</t>
  </si>
  <si>
    <t>Potion of Instant Healing I</t>
  </si>
  <si>
    <t>Potion of Healing I</t>
  </si>
  <si>
    <t>Potion of Stamina</t>
  </si>
  <si>
    <t>Potion of Saturation</t>
  </si>
  <si>
    <t>Potion of Instant Cure</t>
  </si>
  <si>
    <t>Poison</t>
  </si>
  <si>
    <t>Potion of Weight</t>
  </si>
  <si>
    <t>Potion of Temperature</t>
  </si>
  <si>
    <t>Potion of Strength</t>
  </si>
  <si>
    <t>Poisoned Stone Arrow</t>
  </si>
  <si>
    <t>Poisoned Copper Arrow</t>
  </si>
  <si>
    <t>Poisoned Bronze Arrow</t>
  </si>
  <si>
    <t>Poisoned Iron Arrow</t>
  </si>
  <si>
    <t>Poisoned Wooden Bolt</t>
  </si>
  <si>
    <t>Poisoned Copper Bolt</t>
  </si>
  <si>
    <t>Poisoned Bronze Bolt</t>
  </si>
  <si>
    <t>Poisoned Iron Bolt</t>
  </si>
  <si>
    <t>Decouleriser</t>
  </si>
  <si>
    <t>Yellow Dye</t>
  </si>
  <si>
    <t>Blye Dye</t>
  </si>
  <si>
    <t>Red Dye</t>
  </si>
  <si>
    <t>Linen Thread</t>
  </si>
  <si>
    <t>Feather</t>
  </si>
  <si>
    <t>Broadleaf Plantain</t>
  </si>
  <si>
    <t>Dandelion</t>
  </si>
  <si>
    <t>Chicory</t>
  </si>
  <si>
    <t>Daisy</t>
  </si>
  <si>
    <t>Hop</t>
  </si>
  <si>
    <t>St. John's Wort</t>
  </si>
  <si>
    <t>Deadly Nightshade</t>
  </si>
  <si>
    <t>Henbane</t>
  </si>
  <si>
    <t>Copper Arrow</t>
  </si>
  <si>
    <t>Bronze Arrow</t>
  </si>
  <si>
    <t>Iron Arrow</t>
  </si>
  <si>
    <t>Wooden Bolt</t>
  </si>
  <si>
    <t>Copper Bolt</t>
  </si>
  <si>
    <t>Bronze Bolt</t>
  </si>
  <si>
    <t>Iron Bolt</t>
  </si>
  <si>
    <t>Clay Vase</t>
  </si>
  <si>
    <t>Onion</t>
  </si>
  <si>
    <t>Clay Bowl</t>
  </si>
  <si>
    <t>Berry</t>
  </si>
  <si>
    <t>Recipe(s)</t>
  </si>
  <si>
    <t>Dried Meat</t>
  </si>
  <si>
    <t>Dried Fish Meat</t>
  </si>
  <si>
    <t>Longbow</t>
  </si>
  <si>
    <t>Recurve Bow</t>
  </si>
  <si>
    <t>Thistle</t>
  </si>
  <si>
    <t>Porridge</t>
  </si>
  <si>
    <t>Gruel</t>
  </si>
  <si>
    <t>Potage</t>
  </si>
  <si>
    <t>Stew</t>
  </si>
  <si>
    <t>Soup</t>
  </si>
  <si>
    <t>Meat with Gravy</t>
  </si>
  <si>
    <t>Mushroom Soup</t>
  </si>
  <si>
    <t>Scrambled Eggs</t>
  </si>
  <si>
    <t>Quark</t>
  </si>
  <si>
    <t>Flatbread</t>
  </si>
  <si>
    <t>Flatbread with Onion</t>
  </si>
  <si>
    <t>Cabbage</t>
  </si>
  <si>
    <t>Cabbage Seed</t>
  </si>
  <si>
    <t>Carrot</t>
  </si>
  <si>
    <t>Carrot Seed</t>
  </si>
  <si>
    <t>Beetroot</t>
  </si>
  <si>
    <t>Beetroot Seed</t>
  </si>
  <si>
    <t>Bolete Mushroom</t>
  </si>
  <si>
    <t>Parasol Mushroom</t>
  </si>
  <si>
    <t>Red Pine Mushroom</t>
  </si>
  <si>
    <t>Egg</t>
  </si>
  <si>
    <t>Bucket of Milk</t>
  </si>
  <si>
    <t>Bucket of Soured Milk</t>
  </si>
  <si>
    <t>Copper Ore</t>
  </si>
  <si>
    <t>Copper Bar</t>
  </si>
  <si>
    <t>Tin Ore</t>
  </si>
  <si>
    <t>Tin Bar</t>
  </si>
  <si>
    <t>Bronze Bar</t>
  </si>
  <si>
    <t>Iron Ore</t>
  </si>
  <si>
    <t>Iron Bar</t>
  </si>
  <si>
    <t>Fishing Spear</t>
  </si>
  <si>
    <t>Stone Hoe</t>
  </si>
  <si>
    <t>Cudgel</t>
  </si>
  <si>
    <t>Wooden Round Shield</t>
  </si>
  <si>
    <t>Throwing Stone</t>
  </si>
  <si>
    <t>Copper Hammer</t>
  </si>
  <si>
    <t>Copper Axe</t>
  </si>
  <si>
    <t>Copper Shovel</t>
  </si>
  <si>
    <t>Copper Knife</t>
  </si>
  <si>
    <t>Copper Sickle</t>
  </si>
  <si>
    <t>Copper Hoe</t>
  </si>
  <si>
    <t>Copper Spear</t>
  </si>
  <si>
    <t>Spiked Cudgel</t>
  </si>
  <si>
    <t>Copper Round Shield</t>
  </si>
  <si>
    <t>Copper Kite Shield</t>
  </si>
  <si>
    <t>Bronze Dagger</t>
  </si>
  <si>
    <t>Bronze Sword</t>
  </si>
  <si>
    <t>Bronze Battle Axe</t>
  </si>
  <si>
    <t>Bronze Pick</t>
  </si>
  <si>
    <t>Bronze Mace</t>
  </si>
  <si>
    <t>Bronze Helmet</t>
  </si>
  <si>
    <t>Bronze Armour</t>
  </si>
  <si>
    <t>Bronze Bracers</t>
  </si>
  <si>
    <t>Bronze Legwear</t>
  </si>
  <si>
    <t>Bronze Greaves</t>
  </si>
  <si>
    <t>Max Points</t>
  </si>
  <si>
    <t>Tech Tree Points</t>
  </si>
  <si>
    <t>Recipe Scheme</t>
  </si>
  <si>
    <t>Fur</t>
  </si>
  <si>
    <t>Current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</si>
</sst>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left" vertical="center"/>
    </xf>
    <xf numFmtId="0" fontId="1" fillId="0" borderId="2" xfId="0" applyFont="1" applyBorder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69"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 val="0"/>
        <i/>
        <color theme="0" tint="-0.499984740745262"/>
      </font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#,##0.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/>
        <i val="0"/>
      </font>
      <fill>
        <patternFill>
          <bgColor theme="3" tint="0.74996185186315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/>
        <i val="0"/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5EBB3D-7012-4FD5-BFC4-A25CBBA9A8F0}" name="items" displayName="items" ref="B5:E169" totalsRowShown="0" headerRowDxfId="65" dataDxfId="64">
  <autoFilter ref="B5:E169" xr:uid="{795EBB3D-7012-4FD5-BFC4-A25CBBA9A8F0}"/>
  <sortState xmlns:xlrd2="http://schemas.microsoft.com/office/spreadsheetml/2017/richdata2" ref="B6:E145">
    <sortCondition ref="B5:B145"/>
  </sortState>
  <tableColumns count="4">
    <tableColumn id="1" xr3:uid="{16F1DB03-912F-4901-9D4C-B76869D69D2A}" name="Name" dataDxfId="63"/>
    <tableColumn id="2" xr3:uid="{A0946F62-FA08-4312-BFCC-2E788FD7EC46}" name="Category" dataDxfId="62"/>
    <tableColumn id="3" xr3:uid="{26493CD4-4B09-474E-BEF6-7B37782043C5}" name="Weight" dataDxfId="61"/>
    <tableColumn id="4" xr3:uid="{CE7B21A7-F6AF-4122-8606-811792E9638C}" name="Price" dataDxfId="60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E0E4D76-6EEE-4CE5-924D-95F203BD024C}" name="item_categories" displayName="item_categories" ref="G5:G10" totalsRowShown="0" headerRowDxfId="59" dataDxfId="58">
  <autoFilter ref="G5:G10" xr:uid="{4E0E4D76-6EEE-4CE5-924D-95F203BD024C}"/>
  <tableColumns count="1">
    <tableColumn id="1" xr3:uid="{E5416548-876A-40B2-90A1-92FF5C63B85D}" name="Name" dataDxfId="57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E2D24C1-26AE-43B3-A8A3-7853008536E2}" name="recipes" displayName="recipes" ref="H7:I122" totalsRowShown="0" headerRowDxfId="56" dataDxfId="55">
  <autoFilter ref="H7:I122" xr:uid="{5E2D24C1-26AE-43B3-A8A3-7853008536E2}"/>
  <tableColumns count="2">
    <tableColumn id="1" xr3:uid="{64E13A54-4029-4661-A077-0A4B4F09BBB1}" name="ID" dataDxfId="54"/>
    <tableColumn id="2" xr3:uid="{9C71A046-C572-4D51-BCAD-31561431D217}" name="Crafting time" dataDxfId="53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412FF9C-197B-41B9-85D9-DE20F40B2042}" name="recipe_inputs" displayName="recipe_inputs" ref="K7:M239" totalsRowShown="0" headerRowDxfId="52" dataDxfId="51">
  <autoFilter ref="K7:M239" xr:uid="{1412FF9C-197B-41B9-85D9-DE20F40B2042}"/>
  <tableColumns count="3">
    <tableColumn id="1" xr3:uid="{685ECBF0-5BEB-438F-BD2E-3587D5626A52}" name="Item" dataDxfId="50"/>
    <tableColumn id="2" xr3:uid="{A989F325-2FFB-4786-BBD7-407FEA311CD5}" name="Quantity" dataDxfId="49"/>
    <tableColumn id="3" xr3:uid="{E632393B-1C5E-4033-A59B-CC57DC2E89C2}" name="Recipe ID" dataDxfId="48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9C7F1-03C5-4A74-94B9-D2EE0C863513}" name="recipe_outputs" displayName="recipe_outputs" ref="O7:Q125" totalsRowShown="0" headerRowDxfId="34" dataDxfId="33">
  <autoFilter ref="O7:Q125" xr:uid="{5F49C7F1-03C5-4A74-94B9-D2EE0C863513}"/>
  <tableColumns count="3">
    <tableColumn id="1" xr3:uid="{6CD8EBA4-25A6-4B94-847C-B61C7C4AC5F1}" name="Item" dataDxfId="32"/>
    <tableColumn id="2" xr3:uid="{2A0BD0A6-AE1E-40A4-B5A2-6364BC3BF066}" name="Quantity" dataDxfId="31"/>
    <tableColumn id="3" xr3:uid="{077176E3-9DB0-474A-9338-A1670A1E089E}" name="Recipe ID" dataDxfId="30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C7FF82-D686-48F2-A64D-79FAD27DF938}" name="recipe_schemes" displayName="recipe_schemes" ref="B7:F79" totalsRowShown="0" headerRowDxfId="47" dataDxfId="46">
  <autoFilter ref="B7:F79" xr:uid="{93C7FF82-D686-48F2-A64D-79FAD27DF938}"/>
  <tableColumns count="5">
    <tableColumn id="1" xr3:uid="{4E821067-ABA5-4BF7-977D-9F0534745AE4}" name="ID" dataDxfId="45"/>
    <tableColumn id="5" xr3:uid="{F20FFFCC-D0C6-4EAC-9A1D-9610323C1E22}" name="Item" dataDxfId="44"/>
    <tableColumn id="2" xr3:uid="{D37C7638-41F9-4D52-8CDA-8C7D02C15646}" name="Tech Tree" dataDxfId="43"/>
    <tableColumn id="3" xr3:uid="{BCE3338D-F007-4117-9C8F-BAE3B70B27CA}" name="Tech Points" dataDxfId="42"/>
    <tableColumn id="4" xr3:uid="{865F7381-1E85-40D3-B591-EC498F1961B3}" name="Unlock Cost" dataDxfId="41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A33ADD-6F6B-42E2-8A13-394CC5A539C4}" name="tech_trees" displayName="tech_trees" ref="B5:D9" totalsRowShown="0" headerRowDxfId="68" dataDxfId="67">
  <autoFilter ref="B5:D9" xr:uid="{66A33ADD-6F6B-42E2-8A13-394CC5A539C4}"/>
  <sortState xmlns:xlrd2="http://schemas.microsoft.com/office/spreadsheetml/2017/richdata2" ref="B6:B9">
    <sortCondition ref="B5:B9"/>
  </sortState>
  <tableColumns count="3">
    <tableColumn id="1" xr3:uid="{ADFE0204-8272-45C1-8E6E-779722B4CD0A}" name="Name" dataDxfId="66"/>
    <tableColumn id="2" xr3:uid="{169B152F-C625-4076-B184-36DC587497E6}" name="Max Points" dataDxfId="15">
      <calculatedColumnFormula>_xlfn.MAXIFS(buildings[Tech Tree Points],buildings[Tech Tree],tech_trees[[#This Row],[Name]])</calculatedColumnFormula>
    </tableColumn>
    <tableColumn id="3" xr3:uid="{D4482310-BA96-449C-BCA2-939287CA8509}" name="Current Points" dataDxfId="14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A632DF-CAE0-42FF-BFEF-2093724E804C}" name="buildings" displayName="buildings" ref="B5:D51" totalsRowShown="0" headerRowDxfId="40" dataDxfId="39">
  <autoFilter ref="B5:D51" xr:uid="{13A632DF-CAE0-42FF-BFEF-2093724E804C}"/>
  <tableColumns count="3">
    <tableColumn id="1" xr3:uid="{45AA21D0-C49A-45EC-A229-E6C5918309E1}" name="Name" dataDxfId="38"/>
    <tableColumn id="2" xr3:uid="{CD7BB829-6906-4198-8110-4ABEED60ECB9}" name="Tech Tree" dataDxfId="37"/>
    <tableColumn id="3" xr3:uid="{22EFF6B5-F288-4692-951E-58BB8F18A2A9}" name="Tech Tree Points" dataDxfId="36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79559-D172-45AD-B0D5-5F8777F5001A}">
  <dimension ref="B3:G169"/>
  <sheetViews>
    <sheetView topLeftCell="A144" workbookViewId="0">
      <selection activeCell="F169" sqref="F169"/>
    </sheetView>
  </sheetViews>
  <sheetFormatPr defaultColWidth="16.7109375" defaultRowHeight="30" customHeight="1" x14ac:dyDescent="0.25"/>
  <cols>
    <col min="1" max="1" width="16.7109375" style="1" customWidth="1"/>
    <col min="2" max="2" width="28.7109375" style="1" customWidth="1"/>
    <col min="3" max="4" width="16.7109375" style="3"/>
    <col min="5" max="16384" width="16.7109375" style="1"/>
  </cols>
  <sheetData>
    <row r="3" spans="2:7" ht="30" customHeight="1" x14ac:dyDescent="0.25">
      <c r="B3" s="2" t="s">
        <v>0</v>
      </c>
      <c r="G3" s="2" t="s">
        <v>117</v>
      </c>
    </row>
    <row r="5" spans="2:7" ht="30" customHeight="1" x14ac:dyDescent="0.25">
      <c r="B5" s="1" t="s">
        <v>2</v>
      </c>
      <c r="C5" s="6" t="s">
        <v>123</v>
      </c>
      <c r="D5" s="1" t="s">
        <v>4</v>
      </c>
      <c r="E5" s="1" t="s">
        <v>3</v>
      </c>
      <c r="G5" s="1" t="s">
        <v>2</v>
      </c>
    </row>
    <row r="6" spans="2:7" ht="30" customHeight="1" x14ac:dyDescent="0.25">
      <c r="B6" s="1" t="s">
        <v>111</v>
      </c>
      <c r="C6" s="1" t="s">
        <v>121</v>
      </c>
      <c r="D6" s="3">
        <v>0.2</v>
      </c>
      <c r="E6" s="3">
        <v>16</v>
      </c>
      <c r="G6" s="1" t="s">
        <v>118</v>
      </c>
    </row>
    <row r="7" spans="2:7" ht="30" customHeight="1" x14ac:dyDescent="0.25">
      <c r="B7" s="1" t="s">
        <v>28</v>
      </c>
      <c r="C7" s="1" t="s">
        <v>121</v>
      </c>
      <c r="D7" s="3">
        <v>0.01</v>
      </c>
      <c r="E7" s="3">
        <v>0.2</v>
      </c>
      <c r="G7" s="1" t="s">
        <v>119</v>
      </c>
    </row>
    <row r="8" spans="2:7" ht="30" customHeight="1" x14ac:dyDescent="0.25">
      <c r="B8" s="1" t="s">
        <v>199</v>
      </c>
      <c r="C8" s="1" t="s">
        <v>120</v>
      </c>
      <c r="D8" s="3">
        <v>0.15</v>
      </c>
      <c r="E8" s="3">
        <v>3</v>
      </c>
      <c r="G8" s="1" t="s">
        <v>120</v>
      </c>
    </row>
    <row r="9" spans="2:7" ht="30" customHeight="1" x14ac:dyDescent="0.25">
      <c r="B9" s="1" t="s">
        <v>200</v>
      </c>
      <c r="C9" s="1" t="s">
        <v>121</v>
      </c>
      <c r="D9" s="3">
        <v>0.01</v>
      </c>
      <c r="E9" s="3">
        <v>5</v>
      </c>
      <c r="G9" s="1" t="s">
        <v>121</v>
      </c>
    </row>
    <row r="10" spans="2:7" ht="30" customHeight="1" x14ac:dyDescent="0.25">
      <c r="B10" s="1" t="s">
        <v>177</v>
      </c>
      <c r="C10" s="1" t="s">
        <v>120</v>
      </c>
      <c r="D10" s="3">
        <v>0.05</v>
      </c>
      <c r="E10" s="3">
        <v>0.2</v>
      </c>
      <c r="G10" s="1" t="s">
        <v>122</v>
      </c>
    </row>
    <row r="11" spans="2:7" ht="30" customHeight="1" x14ac:dyDescent="0.25">
      <c r="B11" s="1" t="s">
        <v>155</v>
      </c>
      <c r="C11" s="1" t="s">
        <v>121</v>
      </c>
      <c r="D11" s="3">
        <v>0.1</v>
      </c>
      <c r="E11" s="3">
        <v>23</v>
      </c>
    </row>
    <row r="12" spans="2:7" ht="30" customHeight="1" x14ac:dyDescent="0.25">
      <c r="B12" s="1" t="s">
        <v>201</v>
      </c>
      <c r="C12" s="1" t="s">
        <v>120</v>
      </c>
      <c r="D12" s="3">
        <v>0.1</v>
      </c>
      <c r="E12" s="3">
        <v>0.6</v>
      </c>
    </row>
    <row r="13" spans="2:7" ht="30" customHeight="1" x14ac:dyDescent="0.25">
      <c r="B13" s="1" t="s">
        <v>134</v>
      </c>
      <c r="C13" s="1" t="s">
        <v>118</v>
      </c>
      <c r="D13" s="3">
        <v>1.25</v>
      </c>
      <c r="E13" s="3">
        <v>170</v>
      </c>
    </row>
    <row r="14" spans="2:7" ht="30" customHeight="1" x14ac:dyDescent="0.25">
      <c r="B14" s="1" t="s">
        <v>159</v>
      </c>
      <c r="C14" s="1" t="s">
        <v>120</v>
      </c>
      <c r="D14" s="3">
        <v>0.01</v>
      </c>
      <c r="E14" s="3">
        <v>0.7</v>
      </c>
    </row>
    <row r="15" spans="2:7" ht="30" customHeight="1" x14ac:dyDescent="0.25">
      <c r="B15" s="1" t="s">
        <v>168</v>
      </c>
      <c r="C15" s="1" t="s">
        <v>118</v>
      </c>
      <c r="D15" s="3">
        <v>0.03</v>
      </c>
      <c r="E15" s="3">
        <v>32</v>
      </c>
    </row>
    <row r="16" spans="2:7" ht="30" customHeight="1" x14ac:dyDescent="0.25">
      <c r="B16" s="1" t="s">
        <v>211</v>
      </c>
      <c r="C16" s="1" t="s">
        <v>121</v>
      </c>
      <c r="D16" s="3">
        <v>2</v>
      </c>
      <c r="E16" s="3">
        <v>140</v>
      </c>
    </row>
    <row r="17" spans="2:5" ht="30" customHeight="1" x14ac:dyDescent="0.25">
      <c r="B17" s="1" t="s">
        <v>172</v>
      </c>
      <c r="C17" s="1" t="s">
        <v>118</v>
      </c>
      <c r="D17" s="3">
        <v>0.02</v>
      </c>
      <c r="E17" s="3">
        <v>32</v>
      </c>
    </row>
    <row r="18" spans="2:5" ht="30" customHeight="1" x14ac:dyDescent="0.25">
      <c r="B18" s="1" t="s">
        <v>98</v>
      </c>
      <c r="C18" s="1" t="s">
        <v>118</v>
      </c>
      <c r="D18" s="3">
        <v>2</v>
      </c>
      <c r="E18" s="3">
        <v>8</v>
      </c>
    </row>
    <row r="19" spans="2:5" ht="30" customHeight="1" x14ac:dyDescent="0.25">
      <c r="B19" s="1" t="s">
        <v>205</v>
      </c>
      <c r="C19" s="1" t="s">
        <v>120</v>
      </c>
      <c r="D19" s="3">
        <v>4</v>
      </c>
      <c r="E19" s="3">
        <v>68</v>
      </c>
    </row>
    <row r="20" spans="2:5" ht="30" customHeight="1" x14ac:dyDescent="0.25">
      <c r="B20" s="1" t="s">
        <v>206</v>
      </c>
      <c r="C20" s="1" t="s">
        <v>120</v>
      </c>
      <c r="D20" s="3">
        <v>4</v>
      </c>
      <c r="E20" s="3">
        <v>96</v>
      </c>
    </row>
    <row r="21" spans="2:5" ht="30" customHeight="1" x14ac:dyDescent="0.25">
      <c r="B21" s="1" t="s">
        <v>99</v>
      </c>
      <c r="C21" s="1" t="s">
        <v>120</v>
      </c>
      <c r="D21" s="3">
        <v>4</v>
      </c>
      <c r="E21" s="3">
        <v>9</v>
      </c>
    </row>
    <row r="22" spans="2:5" ht="30" customHeight="1" x14ac:dyDescent="0.25">
      <c r="B22" s="1" t="s">
        <v>195</v>
      </c>
      <c r="C22" s="1" t="s">
        <v>120</v>
      </c>
      <c r="D22" s="3">
        <v>0.2</v>
      </c>
      <c r="E22" s="3">
        <v>3</v>
      </c>
    </row>
    <row r="23" spans="2:5" ht="30" customHeight="1" x14ac:dyDescent="0.25">
      <c r="B23" s="1" t="s">
        <v>196</v>
      </c>
      <c r="C23" s="1" t="s">
        <v>121</v>
      </c>
      <c r="D23" s="3">
        <v>0.01</v>
      </c>
      <c r="E23" s="3">
        <v>5</v>
      </c>
    </row>
    <row r="24" spans="2:5" ht="30" customHeight="1" x14ac:dyDescent="0.25">
      <c r="B24" s="1" t="s">
        <v>197</v>
      </c>
      <c r="C24" s="1" t="s">
        <v>120</v>
      </c>
      <c r="D24" s="3">
        <v>0.1</v>
      </c>
      <c r="E24" s="3">
        <v>2</v>
      </c>
    </row>
    <row r="25" spans="2:5" ht="30" customHeight="1" x14ac:dyDescent="0.25">
      <c r="B25" s="1" t="s">
        <v>198</v>
      </c>
      <c r="C25" s="1" t="s">
        <v>121</v>
      </c>
      <c r="D25" s="3">
        <v>0.01</v>
      </c>
      <c r="E25" s="3">
        <v>5</v>
      </c>
    </row>
    <row r="26" spans="2:5" ht="30" customHeight="1" x14ac:dyDescent="0.25">
      <c r="B26" s="1" t="s">
        <v>161</v>
      </c>
      <c r="C26" s="1" t="s">
        <v>120</v>
      </c>
      <c r="D26" s="3">
        <v>0.01</v>
      </c>
      <c r="E26" s="3">
        <v>0.5</v>
      </c>
    </row>
    <row r="27" spans="2:5" ht="30" customHeight="1" x14ac:dyDescent="0.25">
      <c r="B27" s="1" t="s">
        <v>124</v>
      </c>
      <c r="C27" s="1" t="s">
        <v>121</v>
      </c>
      <c r="D27" s="3">
        <v>0.5</v>
      </c>
      <c r="E27" s="3">
        <v>0.4</v>
      </c>
    </row>
    <row r="28" spans="2:5" ht="30" customHeight="1" x14ac:dyDescent="0.25">
      <c r="B28" s="1" t="s">
        <v>176</v>
      </c>
      <c r="C28" s="1" t="s">
        <v>122</v>
      </c>
      <c r="D28" s="3">
        <v>0.4</v>
      </c>
      <c r="E28" s="3">
        <v>2</v>
      </c>
    </row>
    <row r="29" spans="2:5" ht="30" customHeight="1" x14ac:dyDescent="0.25">
      <c r="B29" s="1" t="s">
        <v>174</v>
      </c>
      <c r="C29" s="1" t="s">
        <v>122</v>
      </c>
      <c r="D29" s="3">
        <v>0.5</v>
      </c>
      <c r="E29" s="3">
        <v>3</v>
      </c>
    </row>
    <row r="30" spans="2:5" ht="30" customHeight="1" x14ac:dyDescent="0.25">
      <c r="B30" s="1" t="s">
        <v>167</v>
      </c>
      <c r="C30" s="1" t="s">
        <v>118</v>
      </c>
      <c r="D30" s="3">
        <v>0.03</v>
      </c>
      <c r="E30" s="3">
        <v>14</v>
      </c>
    </row>
    <row r="31" spans="2:5" ht="30" customHeight="1" x14ac:dyDescent="0.25">
      <c r="B31" s="1" t="s">
        <v>208</v>
      </c>
      <c r="C31" s="1" t="s">
        <v>121</v>
      </c>
      <c r="D31" s="3">
        <v>1</v>
      </c>
      <c r="E31" s="3">
        <v>28</v>
      </c>
    </row>
    <row r="32" spans="2:5" ht="30" customHeight="1" x14ac:dyDescent="0.25">
      <c r="B32" s="1" t="s">
        <v>171</v>
      </c>
      <c r="C32" s="1" t="s">
        <v>118</v>
      </c>
      <c r="D32" s="3">
        <v>0.02</v>
      </c>
      <c r="E32" s="3">
        <v>14</v>
      </c>
    </row>
    <row r="33" spans="2:5" ht="30" customHeight="1" x14ac:dyDescent="0.25">
      <c r="B33" s="1" t="s">
        <v>207</v>
      </c>
      <c r="C33" s="1" t="s">
        <v>121</v>
      </c>
      <c r="D33" s="3">
        <v>1</v>
      </c>
      <c r="E33" s="3">
        <v>7</v>
      </c>
    </row>
    <row r="34" spans="2:5" ht="30" customHeight="1" x14ac:dyDescent="0.25">
      <c r="B34" s="1" t="s">
        <v>162</v>
      </c>
      <c r="C34" s="1" t="s">
        <v>120</v>
      </c>
      <c r="D34" s="3">
        <v>0.01</v>
      </c>
      <c r="E34" s="3">
        <v>0.6</v>
      </c>
    </row>
    <row r="35" spans="2:5" ht="30" customHeight="1" x14ac:dyDescent="0.25">
      <c r="B35" s="1" t="s">
        <v>160</v>
      </c>
      <c r="C35" s="1" t="s">
        <v>120</v>
      </c>
      <c r="D35" s="3">
        <v>0.01</v>
      </c>
      <c r="E35" s="3">
        <v>0.6</v>
      </c>
    </row>
    <row r="36" spans="2:5" ht="30" customHeight="1" x14ac:dyDescent="0.25">
      <c r="B36" s="1" t="s">
        <v>110</v>
      </c>
      <c r="C36" s="1" t="s">
        <v>121</v>
      </c>
      <c r="D36" s="3">
        <v>0.5</v>
      </c>
      <c r="E36" s="3">
        <v>1</v>
      </c>
    </row>
    <row r="37" spans="2:5" ht="30" customHeight="1" x14ac:dyDescent="0.25">
      <c r="B37" s="1" t="s">
        <v>165</v>
      </c>
      <c r="C37" s="1" t="s">
        <v>120</v>
      </c>
      <c r="D37" s="3">
        <v>0.01</v>
      </c>
      <c r="E37" s="3">
        <v>0.7</v>
      </c>
    </row>
    <row r="38" spans="2:5" ht="30" customHeight="1" x14ac:dyDescent="0.25">
      <c r="B38" s="1" t="s">
        <v>153</v>
      </c>
      <c r="C38" s="1" t="s">
        <v>121</v>
      </c>
      <c r="D38" s="3">
        <v>1</v>
      </c>
      <c r="E38" s="3">
        <v>25</v>
      </c>
    </row>
    <row r="39" spans="2:5" ht="30" customHeight="1" x14ac:dyDescent="0.25">
      <c r="B39" s="1" t="s">
        <v>180</v>
      </c>
      <c r="C39" s="1" t="s">
        <v>120</v>
      </c>
      <c r="D39" s="3">
        <v>0.2</v>
      </c>
      <c r="E39" s="3">
        <v>20</v>
      </c>
    </row>
    <row r="40" spans="2:5" ht="30" customHeight="1" x14ac:dyDescent="0.25">
      <c r="B40" s="1" t="s">
        <v>179</v>
      </c>
      <c r="C40" s="1" t="s">
        <v>120</v>
      </c>
      <c r="D40" s="3">
        <v>0.2</v>
      </c>
      <c r="E40" s="3">
        <v>6</v>
      </c>
    </row>
    <row r="41" spans="2:5" ht="30" customHeight="1" x14ac:dyDescent="0.25">
      <c r="B41" s="1" t="s">
        <v>204</v>
      </c>
      <c r="C41" s="1" t="s">
        <v>120</v>
      </c>
      <c r="D41" s="3">
        <v>0.05</v>
      </c>
      <c r="E41" s="3">
        <v>1</v>
      </c>
    </row>
    <row r="42" spans="2:5" ht="30" customHeight="1" x14ac:dyDescent="0.25">
      <c r="B42" s="1" t="s">
        <v>158</v>
      </c>
      <c r="C42" s="1" t="s">
        <v>121</v>
      </c>
      <c r="D42" s="3">
        <v>0.01</v>
      </c>
      <c r="E42" s="3">
        <v>0.9</v>
      </c>
    </row>
    <row r="43" spans="2:5" ht="30" customHeight="1" x14ac:dyDescent="0.25">
      <c r="B43" s="1" t="s">
        <v>116</v>
      </c>
      <c r="C43" s="1" t="s">
        <v>121</v>
      </c>
      <c r="D43" s="3">
        <v>0.5</v>
      </c>
      <c r="E43" s="3">
        <v>4</v>
      </c>
    </row>
    <row r="44" spans="2:5" ht="30" customHeight="1" x14ac:dyDescent="0.25">
      <c r="B44" s="1" t="s">
        <v>23</v>
      </c>
      <c r="C44" s="1" t="s">
        <v>121</v>
      </c>
      <c r="D44" s="3">
        <v>0.5</v>
      </c>
      <c r="E44" s="3">
        <v>0.9</v>
      </c>
    </row>
    <row r="45" spans="2:5" ht="30" customHeight="1" x14ac:dyDescent="0.25">
      <c r="B45" s="1" t="s">
        <v>25</v>
      </c>
      <c r="C45" s="1" t="s">
        <v>120</v>
      </c>
      <c r="D45" s="3">
        <v>0.2</v>
      </c>
      <c r="E45" s="3">
        <v>10</v>
      </c>
    </row>
    <row r="46" spans="2:5" ht="30" customHeight="1" x14ac:dyDescent="0.25">
      <c r="B46" s="1" t="s">
        <v>214</v>
      </c>
      <c r="C46" s="1" t="s">
        <v>118</v>
      </c>
      <c r="D46" s="3">
        <v>2.5</v>
      </c>
      <c r="E46" s="3">
        <v>50</v>
      </c>
    </row>
    <row r="47" spans="2:5" ht="30" customHeight="1" x14ac:dyDescent="0.25">
      <c r="B47" s="1" t="s">
        <v>193</v>
      </c>
      <c r="C47" s="1" t="s">
        <v>120</v>
      </c>
      <c r="D47" s="3">
        <v>0.2</v>
      </c>
      <c r="E47" s="3">
        <v>9</v>
      </c>
    </row>
    <row r="48" spans="2:5" ht="30" customHeight="1" x14ac:dyDescent="0.25">
      <c r="B48" s="1" t="s">
        <v>194</v>
      </c>
      <c r="C48" s="1" t="s">
        <v>120</v>
      </c>
      <c r="D48" s="3">
        <v>0.2</v>
      </c>
      <c r="E48" s="3">
        <v>13</v>
      </c>
    </row>
    <row r="49" spans="2:5" ht="30" customHeight="1" x14ac:dyDescent="0.25">
      <c r="B49" s="1" t="s">
        <v>106</v>
      </c>
      <c r="C49" s="1" t="s">
        <v>121</v>
      </c>
      <c r="D49" s="3">
        <v>0.05</v>
      </c>
      <c r="E49" s="3">
        <v>7</v>
      </c>
    </row>
    <row r="50" spans="2:5" ht="30" customHeight="1" x14ac:dyDescent="0.25">
      <c r="B50" s="1" t="s">
        <v>107</v>
      </c>
      <c r="C50" s="1" t="s">
        <v>121</v>
      </c>
      <c r="D50" s="3">
        <v>0.02</v>
      </c>
      <c r="E50" s="3">
        <v>6</v>
      </c>
    </row>
    <row r="51" spans="2:5" ht="30" customHeight="1" x14ac:dyDescent="0.25">
      <c r="B51" s="1" t="s">
        <v>108</v>
      </c>
      <c r="C51" s="1" t="s">
        <v>121</v>
      </c>
      <c r="D51" s="3">
        <v>0.04</v>
      </c>
      <c r="E51" s="3">
        <v>5</v>
      </c>
    </row>
    <row r="52" spans="2:5" ht="30" customHeight="1" x14ac:dyDescent="0.25">
      <c r="B52" s="1" t="s">
        <v>109</v>
      </c>
      <c r="C52" s="1" t="s">
        <v>121</v>
      </c>
      <c r="D52" s="3">
        <v>0.01</v>
      </c>
      <c r="E52" s="3">
        <v>4</v>
      </c>
    </row>
    <row r="53" spans="2:5" ht="30" customHeight="1" x14ac:dyDescent="0.25">
      <c r="B53" s="1" t="s">
        <v>185</v>
      </c>
      <c r="C53" s="1" t="s">
        <v>120</v>
      </c>
      <c r="D53" s="3">
        <v>0.2</v>
      </c>
      <c r="E53" s="3">
        <v>17</v>
      </c>
    </row>
    <row r="54" spans="2:5" ht="30" customHeight="1" x14ac:dyDescent="0.25">
      <c r="B54" s="1" t="s">
        <v>166</v>
      </c>
      <c r="C54" s="1" t="s">
        <v>120</v>
      </c>
      <c r="D54" s="3">
        <v>0.01</v>
      </c>
      <c r="E54" s="3">
        <v>0.7</v>
      </c>
    </row>
    <row r="55" spans="2:5" ht="30" customHeight="1" x14ac:dyDescent="0.25">
      <c r="B55" s="1" t="s">
        <v>163</v>
      </c>
      <c r="C55" s="1" t="s">
        <v>121</v>
      </c>
      <c r="D55" s="3">
        <v>0.02</v>
      </c>
      <c r="E55" s="3">
        <v>3</v>
      </c>
    </row>
    <row r="56" spans="2:5" ht="30" customHeight="1" x14ac:dyDescent="0.25">
      <c r="B56" s="1" t="s">
        <v>169</v>
      </c>
      <c r="C56" s="1" t="s">
        <v>118</v>
      </c>
      <c r="D56" s="3">
        <v>0.03</v>
      </c>
      <c r="E56" s="3">
        <v>50</v>
      </c>
    </row>
    <row r="57" spans="2:5" ht="30" customHeight="1" x14ac:dyDescent="0.25">
      <c r="B57" s="1" t="s">
        <v>213</v>
      </c>
      <c r="C57" s="1" t="s">
        <v>121</v>
      </c>
      <c r="D57" s="3">
        <v>1</v>
      </c>
      <c r="E57" s="3">
        <v>90</v>
      </c>
    </row>
    <row r="58" spans="2:5" ht="30" customHeight="1" x14ac:dyDescent="0.25">
      <c r="B58" s="1" t="s">
        <v>173</v>
      </c>
      <c r="C58" s="1" t="s">
        <v>118</v>
      </c>
      <c r="D58" s="3">
        <v>0.02</v>
      </c>
      <c r="E58" s="3">
        <v>50</v>
      </c>
    </row>
    <row r="59" spans="2:5" ht="30" customHeight="1" x14ac:dyDescent="0.25">
      <c r="B59" s="1" t="s">
        <v>212</v>
      </c>
      <c r="C59" s="1" t="s">
        <v>121</v>
      </c>
      <c r="D59" s="3">
        <v>1</v>
      </c>
      <c r="E59" s="3">
        <v>17</v>
      </c>
    </row>
    <row r="60" spans="2:5" ht="30" customHeight="1" x14ac:dyDescent="0.25">
      <c r="B60" s="1" t="s">
        <v>16</v>
      </c>
      <c r="C60" s="1" t="s">
        <v>121</v>
      </c>
      <c r="D60" s="3">
        <v>0.25</v>
      </c>
      <c r="E60" s="3">
        <v>8</v>
      </c>
    </row>
    <row r="61" spans="2:5" ht="30" customHeight="1" x14ac:dyDescent="0.25">
      <c r="B61" s="1" t="s">
        <v>157</v>
      </c>
      <c r="C61" s="1" t="s">
        <v>121</v>
      </c>
      <c r="D61" s="3">
        <v>0.1</v>
      </c>
      <c r="E61" s="3">
        <v>40</v>
      </c>
    </row>
    <row r="62" spans="2:5" ht="30" customHeight="1" x14ac:dyDescent="0.25">
      <c r="B62" s="1" t="s">
        <v>13</v>
      </c>
      <c r="C62" s="1" t="s">
        <v>121</v>
      </c>
      <c r="D62" s="3">
        <v>2</v>
      </c>
      <c r="E62" s="3">
        <v>1</v>
      </c>
    </row>
    <row r="63" spans="2:5" ht="30" customHeight="1" x14ac:dyDescent="0.25">
      <c r="B63" s="1" t="s">
        <v>181</v>
      </c>
      <c r="C63" s="1" t="s">
        <v>118</v>
      </c>
      <c r="D63" s="3">
        <v>1.5</v>
      </c>
      <c r="E63" s="3">
        <v>370</v>
      </c>
    </row>
    <row r="64" spans="2:5" ht="30" customHeight="1" x14ac:dyDescent="0.25">
      <c r="B64" s="1" t="s">
        <v>115</v>
      </c>
      <c r="C64" s="1" t="s">
        <v>121</v>
      </c>
      <c r="D64" s="3">
        <v>0.25</v>
      </c>
      <c r="E64" s="3">
        <v>0.9</v>
      </c>
    </row>
    <row r="65" spans="2:5" ht="30" customHeight="1" x14ac:dyDescent="0.25">
      <c r="B65" s="1" t="s">
        <v>24</v>
      </c>
      <c r="C65" s="1" t="s">
        <v>120</v>
      </c>
      <c r="D65" s="3">
        <v>0.2</v>
      </c>
      <c r="E65" s="3">
        <v>3</v>
      </c>
    </row>
    <row r="66" spans="2:5" ht="30" customHeight="1" x14ac:dyDescent="0.25">
      <c r="B66" s="1" t="s">
        <v>189</v>
      </c>
      <c r="C66" s="1" t="s">
        <v>120</v>
      </c>
      <c r="D66" s="3">
        <v>0.55000000000000004</v>
      </c>
      <c r="E66" s="3">
        <v>23</v>
      </c>
    </row>
    <row r="67" spans="2:5" ht="30" customHeight="1" x14ac:dyDescent="0.25">
      <c r="B67" s="1" t="s">
        <v>190</v>
      </c>
      <c r="C67" s="1" t="s">
        <v>120</v>
      </c>
      <c r="D67" s="3">
        <v>0.2</v>
      </c>
      <c r="E67" s="3">
        <v>11</v>
      </c>
    </row>
    <row r="68" spans="2:5" ht="30" customHeight="1" x14ac:dyDescent="0.25">
      <c r="B68" s="1" t="s">
        <v>102</v>
      </c>
      <c r="C68" s="1" t="s">
        <v>121</v>
      </c>
      <c r="D68" s="3">
        <v>0.06</v>
      </c>
      <c r="E68" s="3">
        <v>6</v>
      </c>
    </row>
    <row r="69" spans="2:5" ht="30" customHeight="1" x14ac:dyDescent="0.25">
      <c r="B69" s="1" t="s">
        <v>103</v>
      </c>
      <c r="C69" s="1" t="s">
        <v>121</v>
      </c>
      <c r="D69" s="3">
        <v>0.01</v>
      </c>
      <c r="E69" s="3">
        <v>4</v>
      </c>
    </row>
    <row r="70" spans="2:5" ht="30" customHeight="1" x14ac:dyDescent="0.25">
      <c r="B70" s="1" t="s">
        <v>175</v>
      </c>
      <c r="C70" s="1" t="s">
        <v>120</v>
      </c>
      <c r="D70" s="3">
        <v>0.1</v>
      </c>
      <c r="E70" s="3">
        <v>3</v>
      </c>
    </row>
    <row r="71" spans="2:5" ht="30" customHeight="1" x14ac:dyDescent="0.25">
      <c r="B71" s="1" t="s">
        <v>202</v>
      </c>
      <c r="C71" s="1" t="s">
        <v>120</v>
      </c>
      <c r="D71" s="3">
        <v>0.1</v>
      </c>
      <c r="E71" s="3">
        <v>0.6</v>
      </c>
    </row>
    <row r="72" spans="2:5" ht="30" customHeight="1" x14ac:dyDescent="0.25">
      <c r="B72" s="1" t="s">
        <v>31</v>
      </c>
      <c r="C72" s="1" t="s">
        <v>120</v>
      </c>
      <c r="D72" s="3">
        <v>0.8</v>
      </c>
      <c r="E72" s="3">
        <v>21</v>
      </c>
    </row>
    <row r="73" spans="2:5" ht="30" customHeight="1" x14ac:dyDescent="0.25">
      <c r="B73" s="1" t="s">
        <v>32</v>
      </c>
      <c r="C73" s="1" t="s">
        <v>120</v>
      </c>
      <c r="D73" s="3">
        <v>1.4</v>
      </c>
      <c r="E73" s="3">
        <v>36</v>
      </c>
    </row>
    <row r="74" spans="2:5" ht="30" customHeight="1" x14ac:dyDescent="0.25">
      <c r="B74" s="1" t="s">
        <v>95</v>
      </c>
      <c r="C74" s="1" t="s">
        <v>121</v>
      </c>
      <c r="D74" s="3">
        <v>1</v>
      </c>
      <c r="E74" s="3">
        <v>2</v>
      </c>
    </row>
    <row r="75" spans="2:5" ht="30" customHeight="1" x14ac:dyDescent="0.25">
      <c r="B75" s="1" t="s">
        <v>141</v>
      </c>
      <c r="C75" s="1" t="s">
        <v>120</v>
      </c>
      <c r="D75" s="3">
        <v>0.2</v>
      </c>
      <c r="E75" s="3">
        <v>8</v>
      </c>
    </row>
    <row r="76" spans="2:5" ht="30" customHeight="1" x14ac:dyDescent="0.25">
      <c r="B76" s="1" t="s">
        <v>147</v>
      </c>
      <c r="C76" s="1" t="s">
        <v>118</v>
      </c>
      <c r="D76" s="3">
        <v>0.03</v>
      </c>
      <c r="E76" s="3">
        <v>70</v>
      </c>
    </row>
    <row r="77" spans="2:5" ht="30" customHeight="1" x14ac:dyDescent="0.25">
      <c r="B77" s="1" t="s">
        <v>151</v>
      </c>
      <c r="C77" s="1" t="s">
        <v>118</v>
      </c>
      <c r="D77" s="3">
        <v>0.02</v>
      </c>
      <c r="E77" s="3">
        <v>70</v>
      </c>
    </row>
    <row r="78" spans="2:5" ht="30" customHeight="1" x14ac:dyDescent="0.25">
      <c r="B78" s="1" t="s">
        <v>146</v>
      </c>
      <c r="C78" s="1" t="s">
        <v>118</v>
      </c>
      <c r="D78" s="3">
        <v>0.03</v>
      </c>
      <c r="E78" s="3">
        <v>26</v>
      </c>
    </row>
    <row r="79" spans="2:5" ht="30" customHeight="1" x14ac:dyDescent="0.25">
      <c r="B79" s="1" t="s">
        <v>150</v>
      </c>
      <c r="C79" s="1" t="s">
        <v>118</v>
      </c>
      <c r="D79" s="3">
        <v>0.02</v>
      </c>
      <c r="E79" s="3">
        <v>26</v>
      </c>
    </row>
    <row r="80" spans="2:5" ht="30" customHeight="1" x14ac:dyDescent="0.25">
      <c r="B80" s="1" t="s">
        <v>148</v>
      </c>
      <c r="C80" s="1" t="s">
        <v>118</v>
      </c>
      <c r="D80" s="3">
        <v>0.03</v>
      </c>
      <c r="E80" s="3">
        <v>100</v>
      </c>
    </row>
    <row r="81" spans="2:5" ht="30" customHeight="1" x14ac:dyDescent="0.25">
      <c r="B81" s="1" t="s">
        <v>152</v>
      </c>
      <c r="C81" s="1" t="s">
        <v>118</v>
      </c>
      <c r="D81" s="3">
        <v>0.02</v>
      </c>
      <c r="E81" s="3">
        <v>100</v>
      </c>
    </row>
    <row r="82" spans="2:5" ht="30" customHeight="1" x14ac:dyDescent="0.25">
      <c r="B82" s="1" t="s">
        <v>145</v>
      </c>
      <c r="C82" s="1" t="s">
        <v>118</v>
      </c>
      <c r="D82" s="3">
        <v>0.03</v>
      </c>
      <c r="E82" s="3">
        <v>8</v>
      </c>
    </row>
    <row r="83" spans="2:5" ht="30" customHeight="1" x14ac:dyDescent="0.25">
      <c r="B83" s="1" t="s">
        <v>149</v>
      </c>
      <c r="C83" s="1" t="s">
        <v>118</v>
      </c>
      <c r="D83" s="3">
        <v>0.02</v>
      </c>
      <c r="E83" s="3">
        <v>7</v>
      </c>
    </row>
    <row r="84" spans="2:5" ht="30" customHeight="1" x14ac:dyDescent="0.25">
      <c r="B84" s="1" t="s">
        <v>113</v>
      </c>
      <c r="C84" s="1" t="s">
        <v>121</v>
      </c>
      <c r="D84" s="3">
        <v>0.05</v>
      </c>
      <c r="E84" s="3">
        <v>6</v>
      </c>
    </row>
    <row r="85" spans="2:5" ht="30" customHeight="1" x14ac:dyDescent="0.25">
      <c r="B85" s="1" t="s">
        <v>114</v>
      </c>
      <c r="C85" s="1" t="s">
        <v>121</v>
      </c>
      <c r="D85" s="3">
        <v>0.01</v>
      </c>
      <c r="E85" s="3">
        <v>3</v>
      </c>
    </row>
    <row r="86" spans="2:5" ht="30" customHeight="1" x14ac:dyDescent="0.25">
      <c r="B86" s="1" t="s">
        <v>184</v>
      </c>
      <c r="C86" s="1" t="s">
        <v>120</v>
      </c>
      <c r="D86" s="3">
        <v>0.2</v>
      </c>
      <c r="E86" s="3">
        <v>17</v>
      </c>
    </row>
    <row r="87" spans="2:5" ht="30" customHeight="1" x14ac:dyDescent="0.25">
      <c r="B87" s="1" t="s">
        <v>186</v>
      </c>
      <c r="C87" s="1" t="s">
        <v>120</v>
      </c>
      <c r="D87" s="3">
        <v>0.7</v>
      </c>
      <c r="E87" s="3">
        <v>26</v>
      </c>
    </row>
    <row r="88" spans="2:5" ht="30" customHeight="1" x14ac:dyDescent="0.25">
      <c r="B88" s="1" t="s">
        <v>137</v>
      </c>
      <c r="C88" s="1" t="s">
        <v>120</v>
      </c>
      <c r="D88" s="3">
        <v>0.2</v>
      </c>
      <c r="E88" s="3">
        <v>14</v>
      </c>
    </row>
    <row r="89" spans="2:5" ht="30" customHeight="1" x14ac:dyDescent="0.25">
      <c r="B89" s="1" t="s">
        <v>140</v>
      </c>
      <c r="C89" s="1" t="s">
        <v>120</v>
      </c>
      <c r="D89" s="3">
        <v>0.2</v>
      </c>
      <c r="E89" s="3">
        <v>10</v>
      </c>
    </row>
    <row r="90" spans="2:5" ht="30" customHeight="1" x14ac:dyDescent="0.25">
      <c r="B90" s="1" t="s">
        <v>136</v>
      </c>
      <c r="C90" s="1" t="s">
        <v>120</v>
      </c>
      <c r="D90" s="3">
        <v>0.2</v>
      </c>
      <c r="E90" s="3">
        <v>5</v>
      </c>
    </row>
    <row r="91" spans="2:5" ht="30" customHeight="1" x14ac:dyDescent="0.25">
      <c r="B91" s="1" t="s">
        <v>139</v>
      </c>
      <c r="C91" s="1" t="s">
        <v>120</v>
      </c>
      <c r="D91" s="3">
        <v>0.2</v>
      </c>
      <c r="E91" s="3">
        <v>11</v>
      </c>
    </row>
    <row r="92" spans="2:5" ht="30" customHeight="1" x14ac:dyDescent="0.25">
      <c r="B92" s="1" t="s">
        <v>138</v>
      </c>
      <c r="C92" s="1" t="s">
        <v>120</v>
      </c>
      <c r="D92" s="3">
        <v>0.2</v>
      </c>
      <c r="E92" s="3">
        <v>12</v>
      </c>
    </row>
    <row r="93" spans="2:5" ht="30" customHeight="1" x14ac:dyDescent="0.25">
      <c r="B93" s="1" t="s">
        <v>144</v>
      </c>
      <c r="C93" s="1" t="s">
        <v>120</v>
      </c>
      <c r="D93" s="3">
        <v>0.2</v>
      </c>
      <c r="E93" s="3">
        <v>8</v>
      </c>
    </row>
    <row r="94" spans="2:5" ht="30" customHeight="1" x14ac:dyDescent="0.25">
      <c r="B94" s="1" t="s">
        <v>143</v>
      </c>
      <c r="C94" s="1" t="s">
        <v>120</v>
      </c>
      <c r="D94" s="3">
        <v>0.2</v>
      </c>
      <c r="E94" s="3">
        <v>34</v>
      </c>
    </row>
    <row r="95" spans="2:5" ht="30" customHeight="1" x14ac:dyDescent="0.25">
      <c r="B95" s="1" t="s">
        <v>142</v>
      </c>
      <c r="C95" s="1" t="s">
        <v>120</v>
      </c>
      <c r="D95" s="3">
        <v>0.2</v>
      </c>
      <c r="E95" s="3">
        <v>37</v>
      </c>
    </row>
    <row r="96" spans="2:5" ht="30" customHeight="1" x14ac:dyDescent="0.25">
      <c r="B96" s="1" t="s">
        <v>192</v>
      </c>
      <c r="C96" s="1" t="s">
        <v>120</v>
      </c>
      <c r="D96" s="3">
        <v>0.2</v>
      </c>
      <c r="E96" s="3">
        <v>17</v>
      </c>
    </row>
    <row r="97" spans="2:5" ht="30" customHeight="1" x14ac:dyDescent="0.25">
      <c r="B97" s="1" t="s">
        <v>182</v>
      </c>
      <c r="C97" s="1" t="s">
        <v>118</v>
      </c>
      <c r="D97" s="3">
        <v>1.5</v>
      </c>
      <c r="E97" s="3">
        <v>600</v>
      </c>
    </row>
    <row r="98" spans="2:5" ht="30" customHeight="1" x14ac:dyDescent="0.25">
      <c r="B98" s="1" t="s">
        <v>156</v>
      </c>
      <c r="C98" s="1" t="s">
        <v>121</v>
      </c>
      <c r="D98" s="3">
        <v>0.1</v>
      </c>
      <c r="E98" s="3">
        <v>19</v>
      </c>
    </row>
    <row r="99" spans="2:5" ht="30" customHeight="1" x14ac:dyDescent="0.25">
      <c r="B99" s="1" t="s">
        <v>203</v>
      </c>
      <c r="C99" s="1" t="s">
        <v>120</v>
      </c>
      <c r="D99" s="3">
        <v>0.1</v>
      </c>
      <c r="E99" s="3">
        <v>0.6</v>
      </c>
    </row>
    <row r="100" spans="2:5" ht="30" customHeight="1" x14ac:dyDescent="0.25">
      <c r="B100" s="1" t="s">
        <v>33</v>
      </c>
      <c r="C100" s="1" t="s">
        <v>120</v>
      </c>
      <c r="D100" s="3">
        <v>0.2</v>
      </c>
      <c r="E100" s="3">
        <v>7</v>
      </c>
    </row>
    <row r="101" spans="2:5" ht="30" customHeight="1" x14ac:dyDescent="0.25">
      <c r="B101" s="1" t="s">
        <v>27</v>
      </c>
      <c r="C101" s="1" t="s">
        <v>120</v>
      </c>
      <c r="D101" s="3">
        <v>0.2</v>
      </c>
      <c r="E101" s="3">
        <v>19</v>
      </c>
    </row>
    <row r="102" spans="2:5" ht="30" customHeight="1" x14ac:dyDescent="0.25">
      <c r="B102" s="1" t="s">
        <v>26</v>
      </c>
      <c r="C102" s="1" t="s">
        <v>120</v>
      </c>
      <c r="D102" s="3">
        <v>0.2</v>
      </c>
      <c r="E102" s="3">
        <v>6</v>
      </c>
    </row>
    <row r="103" spans="2:5" ht="30" customHeight="1" x14ac:dyDescent="0.25">
      <c r="B103" s="1" t="s">
        <v>112</v>
      </c>
      <c r="C103" s="1" t="s">
        <v>121</v>
      </c>
      <c r="D103" s="3">
        <v>0.05</v>
      </c>
      <c r="E103" s="3">
        <v>0</v>
      </c>
    </row>
    <row r="104" spans="2:5" ht="30" customHeight="1" x14ac:dyDescent="0.25">
      <c r="B104" s="1" t="s">
        <v>104</v>
      </c>
      <c r="C104" s="1" t="s">
        <v>121</v>
      </c>
      <c r="D104" s="3">
        <v>0.06</v>
      </c>
      <c r="E104" s="3">
        <v>6</v>
      </c>
    </row>
    <row r="105" spans="2:5" ht="30" customHeight="1" x14ac:dyDescent="0.25">
      <c r="B105" s="1" t="s">
        <v>105</v>
      </c>
      <c r="C105" s="1" t="s">
        <v>121</v>
      </c>
      <c r="D105" s="3">
        <v>0.01</v>
      </c>
      <c r="E105" s="3">
        <v>4</v>
      </c>
    </row>
    <row r="106" spans="2:5" ht="30" customHeight="1" x14ac:dyDescent="0.25">
      <c r="B106" s="1" t="s">
        <v>30</v>
      </c>
      <c r="C106" s="1" t="s">
        <v>120</v>
      </c>
      <c r="D106" s="3">
        <v>0.2</v>
      </c>
      <c r="E106" s="3">
        <v>23</v>
      </c>
    </row>
    <row r="107" spans="2:5" ht="30" customHeight="1" x14ac:dyDescent="0.25">
      <c r="B107" s="1" t="s">
        <v>29</v>
      </c>
      <c r="C107" s="1" t="s">
        <v>120</v>
      </c>
      <c r="D107" s="3">
        <v>0.2</v>
      </c>
      <c r="E107" s="3">
        <v>8</v>
      </c>
    </row>
    <row r="108" spans="2:5" ht="30" customHeight="1" x14ac:dyDescent="0.25">
      <c r="B108" s="1" t="s">
        <v>191</v>
      </c>
      <c r="C108" s="1" t="s">
        <v>120</v>
      </c>
      <c r="D108" s="3">
        <v>0.2</v>
      </c>
      <c r="E108" s="3">
        <v>7</v>
      </c>
    </row>
    <row r="109" spans="2:5" ht="30" customHeight="1" x14ac:dyDescent="0.25">
      <c r="B109" s="1" t="s">
        <v>35</v>
      </c>
      <c r="C109" s="1" t="s">
        <v>118</v>
      </c>
      <c r="D109" s="3">
        <v>0.15</v>
      </c>
      <c r="E109" s="3">
        <v>14</v>
      </c>
    </row>
    <row r="110" spans="2:5" ht="30" customHeight="1" x14ac:dyDescent="0.25">
      <c r="B110" s="1" t="s">
        <v>36</v>
      </c>
      <c r="C110" s="1" t="s">
        <v>118</v>
      </c>
      <c r="D110" s="3">
        <v>0.46</v>
      </c>
      <c r="E110" s="3">
        <v>3</v>
      </c>
    </row>
    <row r="111" spans="2:5" ht="30" customHeight="1" x14ac:dyDescent="0.25">
      <c r="B111" s="1" t="s">
        <v>125</v>
      </c>
      <c r="C111" s="1" t="s">
        <v>122</v>
      </c>
      <c r="D111" s="3">
        <v>0.5</v>
      </c>
      <c r="E111" s="3">
        <v>3</v>
      </c>
    </row>
    <row r="112" spans="2:5" ht="30" customHeight="1" x14ac:dyDescent="0.25">
      <c r="B112" s="1" t="s">
        <v>37</v>
      </c>
      <c r="C112" s="1" t="s">
        <v>118</v>
      </c>
      <c r="D112" s="3">
        <v>0.03</v>
      </c>
      <c r="E112" s="3">
        <v>0</v>
      </c>
    </row>
    <row r="113" spans="2:5" ht="30" customHeight="1" x14ac:dyDescent="0.25">
      <c r="B113" s="1" t="s">
        <v>188</v>
      </c>
      <c r="C113" s="1" t="s">
        <v>120</v>
      </c>
      <c r="D113" s="3">
        <v>0.75</v>
      </c>
      <c r="E113" s="3">
        <v>39</v>
      </c>
    </row>
    <row r="114" spans="2:5" ht="30" customHeight="1" x14ac:dyDescent="0.25">
      <c r="B114" s="1" t="s">
        <v>164</v>
      </c>
      <c r="C114" s="1" t="s">
        <v>120</v>
      </c>
      <c r="D114" s="3">
        <v>0.01</v>
      </c>
      <c r="E114" s="3">
        <v>0.5</v>
      </c>
    </row>
    <row r="115" spans="2:5" ht="30" customHeight="1" x14ac:dyDescent="0.25">
      <c r="B115" s="1" t="s">
        <v>187</v>
      </c>
      <c r="C115" s="1" t="s">
        <v>120</v>
      </c>
      <c r="D115" s="3">
        <v>0.75</v>
      </c>
      <c r="E115" s="3">
        <v>20</v>
      </c>
    </row>
    <row r="116" spans="2:5" ht="30" customHeight="1" x14ac:dyDescent="0.25">
      <c r="B116" s="1" t="s">
        <v>14</v>
      </c>
      <c r="C116" s="1" t="s">
        <v>121</v>
      </c>
      <c r="D116" s="3">
        <v>0.1</v>
      </c>
      <c r="E116" s="3">
        <v>0.3</v>
      </c>
    </row>
    <row r="117" spans="2:5" ht="30" customHeight="1" x14ac:dyDescent="0.25">
      <c r="B117" s="1" t="s">
        <v>15</v>
      </c>
      <c r="C117" s="1" t="s">
        <v>121</v>
      </c>
      <c r="D117" s="3">
        <v>1</v>
      </c>
      <c r="E117" s="3">
        <v>0.4</v>
      </c>
    </row>
    <row r="118" spans="2:5" ht="30" customHeight="1" x14ac:dyDescent="0.25">
      <c r="B118" s="1" t="s">
        <v>135</v>
      </c>
      <c r="C118" s="1" t="s">
        <v>118</v>
      </c>
      <c r="D118" s="3">
        <v>0.03</v>
      </c>
      <c r="E118" s="3">
        <v>3</v>
      </c>
    </row>
    <row r="119" spans="2:5" ht="30" customHeight="1" x14ac:dyDescent="0.25">
      <c r="B119" s="1" t="s">
        <v>8</v>
      </c>
      <c r="C119" s="1" t="s">
        <v>118</v>
      </c>
      <c r="D119" s="3">
        <v>2.5</v>
      </c>
      <c r="E119" s="3">
        <v>7</v>
      </c>
    </row>
    <row r="120" spans="2:5" ht="30" customHeight="1" x14ac:dyDescent="0.25">
      <c r="B120" s="1" t="s">
        <v>215</v>
      </c>
      <c r="C120" s="1" t="s">
        <v>118</v>
      </c>
      <c r="D120" s="3">
        <v>2.5</v>
      </c>
      <c r="E120" s="3">
        <v>9</v>
      </c>
    </row>
    <row r="121" spans="2:5" ht="30" customHeight="1" x14ac:dyDescent="0.25">
      <c r="B121" s="1" t="s">
        <v>10</v>
      </c>
      <c r="C121" s="1" t="s">
        <v>118</v>
      </c>
      <c r="D121" s="3">
        <v>0.5</v>
      </c>
      <c r="E121" s="3">
        <v>5</v>
      </c>
    </row>
    <row r="122" spans="2:5" ht="30" customHeight="1" x14ac:dyDescent="0.25">
      <c r="B122" s="1" t="s">
        <v>9</v>
      </c>
      <c r="C122" s="1" t="s">
        <v>118</v>
      </c>
      <c r="D122" s="3">
        <v>3</v>
      </c>
      <c r="E122" s="3">
        <v>7</v>
      </c>
    </row>
    <row r="123" spans="2:5" ht="30" customHeight="1" x14ac:dyDescent="0.25">
      <c r="B123" s="1" t="s">
        <v>11</v>
      </c>
      <c r="C123" s="1" t="s">
        <v>118</v>
      </c>
      <c r="D123" s="3">
        <v>0.75</v>
      </c>
      <c r="E123" s="3">
        <v>6</v>
      </c>
    </row>
    <row r="124" spans="2:5" ht="30" customHeight="1" x14ac:dyDescent="0.25">
      <c r="B124" s="1" t="s">
        <v>133</v>
      </c>
      <c r="C124" s="1" t="s">
        <v>118</v>
      </c>
      <c r="D124" s="3">
        <v>2.5</v>
      </c>
      <c r="E124" s="3">
        <v>80</v>
      </c>
    </row>
    <row r="125" spans="2:5" ht="30" customHeight="1" x14ac:dyDescent="0.25">
      <c r="B125" s="1" t="s">
        <v>22</v>
      </c>
      <c r="C125" s="1" t="s">
        <v>121</v>
      </c>
      <c r="D125" s="3">
        <v>0.04</v>
      </c>
      <c r="E125" s="3">
        <v>0.1</v>
      </c>
    </row>
    <row r="126" spans="2:5" ht="30" customHeight="1" x14ac:dyDescent="0.25">
      <c r="B126" s="1" t="s">
        <v>183</v>
      </c>
      <c r="C126" s="1" t="s">
        <v>120</v>
      </c>
      <c r="D126" s="3">
        <v>0.01</v>
      </c>
      <c r="E126" s="3">
        <v>0.7</v>
      </c>
    </row>
    <row r="127" spans="2:5" ht="30" customHeight="1" x14ac:dyDescent="0.25">
      <c r="B127" s="1" t="s">
        <v>210</v>
      </c>
      <c r="C127" s="1" t="s">
        <v>121</v>
      </c>
      <c r="D127" s="3">
        <v>1</v>
      </c>
      <c r="E127" s="3">
        <v>35</v>
      </c>
    </row>
    <row r="128" spans="2:5" ht="30" customHeight="1" x14ac:dyDescent="0.25">
      <c r="B128" s="1" t="s">
        <v>209</v>
      </c>
      <c r="C128" s="1" t="s">
        <v>121</v>
      </c>
      <c r="D128" s="3">
        <v>1</v>
      </c>
      <c r="E128" s="3">
        <v>8</v>
      </c>
    </row>
    <row r="129" spans="2:5" ht="30" customHeight="1" x14ac:dyDescent="0.25">
      <c r="B129" s="1" t="s">
        <v>132</v>
      </c>
      <c r="C129" s="1" t="s">
        <v>118</v>
      </c>
      <c r="D129" s="3">
        <v>0.5</v>
      </c>
      <c r="E129" s="3">
        <v>33</v>
      </c>
    </row>
    <row r="130" spans="2:5" ht="30" customHeight="1" x14ac:dyDescent="0.25">
      <c r="B130" s="1" t="s">
        <v>96</v>
      </c>
      <c r="C130" s="1" t="s">
        <v>118</v>
      </c>
      <c r="D130" s="3">
        <v>0.25</v>
      </c>
      <c r="E130" s="3">
        <v>32</v>
      </c>
    </row>
    <row r="131" spans="2:5" ht="30" customHeight="1" x14ac:dyDescent="0.25">
      <c r="B131" s="1" t="s">
        <v>97</v>
      </c>
      <c r="C131" s="1" t="s">
        <v>120</v>
      </c>
      <c r="D131" s="3">
        <v>0.5</v>
      </c>
      <c r="E131" s="3">
        <v>32</v>
      </c>
    </row>
    <row r="132" spans="2:5" ht="30" customHeight="1" x14ac:dyDescent="0.25">
      <c r="B132" s="1" t="s">
        <v>100</v>
      </c>
      <c r="C132" s="1" t="s">
        <v>121</v>
      </c>
      <c r="D132" s="3">
        <v>0.06</v>
      </c>
      <c r="E132" s="3">
        <v>6</v>
      </c>
    </row>
    <row r="133" spans="2:5" ht="30" customHeight="1" x14ac:dyDescent="0.25">
      <c r="B133" s="1" t="s">
        <v>101</v>
      </c>
      <c r="C133" s="1" t="s">
        <v>121</v>
      </c>
      <c r="D133" s="3">
        <v>0.01</v>
      </c>
      <c r="E133" s="3">
        <v>5</v>
      </c>
    </row>
    <row r="134" spans="2:5" ht="30" customHeight="1" x14ac:dyDescent="0.25">
      <c r="B134" s="1" t="s">
        <v>170</v>
      </c>
      <c r="C134" s="1" t="s">
        <v>118</v>
      </c>
      <c r="D134" s="3">
        <v>0.02</v>
      </c>
      <c r="E134" s="3">
        <v>3</v>
      </c>
    </row>
    <row r="135" spans="2:5" ht="30" customHeight="1" x14ac:dyDescent="0.25">
      <c r="B135" s="1" t="s">
        <v>126</v>
      </c>
      <c r="C135" s="1" t="s">
        <v>121</v>
      </c>
      <c r="D135" s="3">
        <v>0.2</v>
      </c>
      <c r="E135" s="3">
        <v>0.8</v>
      </c>
    </row>
    <row r="136" spans="2:5" ht="30" customHeight="1" x14ac:dyDescent="0.25">
      <c r="B136" s="1" t="s">
        <v>127</v>
      </c>
      <c r="C136" s="1" t="s">
        <v>122</v>
      </c>
      <c r="D136" s="3">
        <v>0.2</v>
      </c>
      <c r="E136" s="3">
        <v>0.8</v>
      </c>
    </row>
    <row r="137" spans="2:5" ht="30" customHeight="1" x14ac:dyDescent="0.25">
      <c r="B137" s="1" t="s">
        <v>5</v>
      </c>
      <c r="C137" s="1" t="s">
        <v>118</v>
      </c>
      <c r="D137" s="3">
        <v>1</v>
      </c>
      <c r="E137" s="3">
        <v>9</v>
      </c>
    </row>
    <row r="138" spans="2:5" ht="30" customHeight="1" x14ac:dyDescent="0.25">
      <c r="B138" s="1" t="s">
        <v>7</v>
      </c>
      <c r="C138" s="1" t="s">
        <v>118</v>
      </c>
      <c r="D138" s="3">
        <v>2</v>
      </c>
      <c r="E138" s="3">
        <v>7</v>
      </c>
    </row>
    <row r="139" spans="2:5" ht="30" customHeight="1" x14ac:dyDescent="0.25">
      <c r="B139" s="1" t="s">
        <v>129</v>
      </c>
      <c r="C139" s="1" t="s">
        <v>122</v>
      </c>
      <c r="D139" s="3">
        <v>7.0000000000000007E-2</v>
      </c>
      <c r="E139" s="3">
        <v>2</v>
      </c>
    </row>
    <row r="140" spans="2:5" ht="30" customHeight="1" x14ac:dyDescent="0.25">
      <c r="B140" s="1" t="s">
        <v>128</v>
      </c>
      <c r="C140" s="1" t="s">
        <v>121</v>
      </c>
      <c r="D140" s="3">
        <v>0.2</v>
      </c>
      <c r="E140" s="3">
        <v>0.8</v>
      </c>
    </row>
    <row r="141" spans="2:5" ht="30" customHeight="1" x14ac:dyDescent="0.25">
      <c r="B141" s="1" t="s">
        <v>6</v>
      </c>
      <c r="C141" s="1" t="s">
        <v>118</v>
      </c>
      <c r="D141" s="3">
        <v>2</v>
      </c>
      <c r="E141" s="3">
        <v>7</v>
      </c>
    </row>
    <row r="142" spans="2:5" ht="30" customHeight="1" x14ac:dyDescent="0.25">
      <c r="B142" s="1" t="s">
        <v>12</v>
      </c>
      <c r="C142" s="1" t="s">
        <v>118</v>
      </c>
      <c r="D142" s="3">
        <v>1.5</v>
      </c>
      <c r="E142" s="3">
        <v>4</v>
      </c>
    </row>
    <row r="143" spans="2:5" ht="30" customHeight="1" x14ac:dyDescent="0.25">
      <c r="B143" s="1" t="s">
        <v>130</v>
      </c>
      <c r="C143" s="1" t="s">
        <v>122</v>
      </c>
      <c r="D143" s="3">
        <v>7.0000000000000007E-2</v>
      </c>
      <c r="E143" s="3">
        <v>2</v>
      </c>
    </row>
    <row r="144" spans="2:5" ht="30" customHeight="1" x14ac:dyDescent="0.25">
      <c r="B144" s="1" t="s">
        <v>131</v>
      </c>
      <c r="C144" s="1" t="s">
        <v>121</v>
      </c>
      <c r="D144" s="3">
        <v>0.1</v>
      </c>
      <c r="E144" s="3">
        <v>0.4</v>
      </c>
    </row>
    <row r="145" spans="2:5" ht="30" customHeight="1" x14ac:dyDescent="0.25">
      <c r="B145" s="1" t="s">
        <v>154</v>
      </c>
      <c r="C145" s="1" t="s">
        <v>121</v>
      </c>
      <c r="D145" s="3">
        <v>0.1</v>
      </c>
      <c r="E145" s="3">
        <v>40</v>
      </c>
    </row>
    <row r="146" spans="2:5" ht="30" customHeight="1" x14ac:dyDescent="0.25">
      <c r="B146" s="1" t="s">
        <v>216</v>
      </c>
      <c r="C146" s="1" t="s">
        <v>118</v>
      </c>
      <c r="D146" s="3">
        <v>1.5</v>
      </c>
      <c r="E146" s="3">
        <v>4</v>
      </c>
    </row>
    <row r="147" spans="2:5" ht="30" customHeight="1" x14ac:dyDescent="0.25">
      <c r="B147" s="1" t="s">
        <v>217</v>
      </c>
      <c r="C147" s="1" t="s">
        <v>118</v>
      </c>
      <c r="D147" s="3">
        <v>0.5</v>
      </c>
      <c r="E147" s="3">
        <v>150</v>
      </c>
    </row>
    <row r="148" spans="2:5" ht="30" customHeight="1" x14ac:dyDescent="0.25">
      <c r="B148" s="1" t="s">
        <v>218</v>
      </c>
      <c r="C148" s="1" t="s">
        <v>118</v>
      </c>
      <c r="D148" s="3">
        <v>0.2</v>
      </c>
      <c r="E148" s="3">
        <v>0.2</v>
      </c>
    </row>
    <row r="149" spans="2:5" ht="30" customHeight="1" x14ac:dyDescent="0.25">
      <c r="B149" s="1" t="s">
        <v>219</v>
      </c>
      <c r="C149" s="1" t="s">
        <v>118</v>
      </c>
      <c r="D149" s="3">
        <v>2</v>
      </c>
      <c r="E149" s="3">
        <v>110</v>
      </c>
    </row>
    <row r="150" spans="2:5" ht="30" customHeight="1" x14ac:dyDescent="0.25">
      <c r="B150" s="1" t="s">
        <v>220</v>
      </c>
      <c r="C150" s="1" t="s">
        <v>118</v>
      </c>
      <c r="D150" s="3">
        <v>3</v>
      </c>
      <c r="E150" s="3">
        <v>220</v>
      </c>
    </row>
    <row r="151" spans="2:5" ht="30" customHeight="1" x14ac:dyDescent="0.25">
      <c r="B151" s="1" t="s">
        <v>221</v>
      </c>
      <c r="C151" s="1" t="s">
        <v>118</v>
      </c>
      <c r="D151" s="3">
        <v>3</v>
      </c>
      <c r="E151" s="3">
        <v>220</v>
      </c>
    </row>
    <row r="152" spans="2:5" ht="30" customHeight="1" x14ac:dyDescent="0.25">
      <c r="B152" s="1" t="s">
        <v>222</v>
      </c>
      <c r="C152" s="1" t="s">
        <v>118</v>
      </c>
      <c r="D152" s="3">
        <v>0.5</v>
      </c>
      <c r="E152" s="3">
        <v>110</v>
      </c>
    </row>
    <row r="153" spans="2:5" ht="30" customHeight="1" x14ac:dyDescent="0.25">
      <c r="B153" s="1" t="s">
        <v>223</v>
      </c>
      <c r="C153" s="1" t="s">
        <v>118</v>
      </c>
      <c r="D153" s="3">
        <v>1</v>
      </c>
      <c r="E153" s="3">
        <v>120</v>
      </c>
    </row>
    <row r="154" spans="2:5" ht="30" customHeight="1" x14ac:dyDescent="0.25">
      <c r="B154" s="1" t="s">
        <v>224</v>
      </c>
      <c r="C154" s="1" t="s">
        <v>118</v>
      </c>
      <c r="D154" s="3">
        <v>2</v>
      </c>
      <c r="E154" s="3">
        <v>110</v>
      </c>
    </row>
    <row r="155" spans="2:5" ht="30" customHeight="1" x14ac:dyDescent="0.25">
      <c r="B155" s="1" t="s">
        <v>225</v>
      </c>
      <c r="C155" s="1" t="s">
        <v>118</v>
      </c>
      <c r="D155" s="3">
        <v>2</v>
      </c>
      <c r="E155" s="3">
        <v>200</v>
      </c>
    </row>
    <row r="156" spans="2:5" ht="30" customHeight="1" x14ac:dyDescent="0.25">
      <c r="B156" s="1" t="s">
        <v>226</v>
      </c>
      <c r="C156" s="1" t="s">
        <v>118</v>
      </c>
      <c r="D156" s="3">
        <v>2</v>
      </c>
      <c r="E156" s="3">
        <v>60</v>
      </c>
    </row>
    <row r="157" spans="2:5" ht="30" customHeight="1" x14ac:dyDescent="0.25">
      <c r="B157" s="1" t="s">
        <v>227</v>
      </c>
      <c r="C157" s="1" t="s">
        <v>118</v>
      </c>
      <c r="D157" s="3">
        <v>0.5</v>
      </c>
      <c r="E157" s="3">
        <v>260</v>
      </c>
    </row>
    <row r="158" spans="2:5" ht="30" customHeight="1" x14ac:dyDescent="0.25">
      <c r="B158" s="1" t="s">
        <v>228</v>
      </c>
      <c r="C158" s="1" t="s">
        <v>118</v>
      </c>
      <c r="D158" s="3">
        <v>0.5</v>
      </c>
      <c r="E158" s="3">
        <v>290</v>
      </c>
    </row>
    <row r="159" spans="2:5" ht="30" customHeight="1" x14ac:dyDescent="0.25">
      <c r="B159" s="1" t="s">
        <v>229</v>
      </c>
      <c r="C159" s="1" t="s">
        <v>118</v>
      </c>
      <c r="D159" s="3">
        <v>0.5</v>
      </c>
      <c r="E159" s="3">
        <v>150</v>
      </c>
    </row>
    <row r="160" spans="2:5" ht="30" customHeight="1" x14ac:dyDescent="0.25">
      <c r="B160" s="1" t="s">
        <v>230</v>
      </c>
      <c r="C160" s="1" t="s">
        <v>118</v>
      </c>
      <c r="D160" s="3">
        <v>1.5</v>
      </c>
      <c r="E160" s="3">
        <v>290</v>
      </c>
    </row>
    <row r="161" spans="2:5" ht="30" customHeight="1" x14ac:dyDescent="0.25">
      <c r="B161" s="1" t="s">
        <v>231</v>
      </c>
      <c r="C161" s="1" t="s">
        <v>118</v>
      </c>
      <c r="D161" s="3">
        <v>2</v>
      </c>
      <c r="E161" s="3">
        <v>280</v>
      </c>
    </row>
    <row r="162" spans="2:5" ht="30" customHeight="1" x14ac:dyDescent="0.25">
      <c r="B162" s="1" t="s">
        <v>232</v>
      </c>
      <c r="C162" s="1" t="s">
        <v>118</v>
      </c>
      <c r="D162" s="3">
        <v>2</v>
      </c>
      <c r="E162" s="3">
        <v>340</v>
      </c>
    </row>
    <row r="163" spans="2:5" ht="30" customHeight="1" x14ac:dyDescent="0.25">
      <c r="B163" s="1" t="s">
        <v>233</v>
      </c>
      <c r="C163" s="1" t="s">
        <v>118</v>
      </c>
      <c r="D163" s="3">
        <v>1.5</v>
      </c>
      <c r="E163" s="3">
        <v>340</v>
      </c>
    </row>
    <row r="164" spans="2:5" ht="30" customHeight="1" x14ac:dyDescent="0.25">
      <c r="B164" s="1" t="s">
        <v>234</v>
      </c>
      <c r="C164" s="1" t="s">
        <v>119</v>
      </c>
      <c r="D164" s="3">
        <v>3</v>
      </c>
      <c r="E164" s="3">
        <v>790</v>
      </c>
    </row>
    <row r="165" spans="2:5" ht="30" customHeight="1" x14ac:dyDescent="0.25">
      <c r="B165" s="1" t="s">
        <v>235</v>
      </c>
      <c r="C165" s="1" t="s">
        <v>119</v>
      </c>
      <c r="D165" s="3">
        <v>9</v>
      </c>
      <c r="E165" s="3">
        <v>2390</v>
      </c>
    </row>
    <row r="166" spans="2:5" ht="30" customHeight="1" x14ac:dyDescent="0.25">
      <c r="B166" s="1" t="s">
        <v>236</v>
      </c>
      <c r="C166" s="1" t="s">
        <v>119</v>
      </c>
      <c r="D166" s="3">
        <v>3</v>
      </c>
      <c r="E166" s="3">
        <v>810</v>
      </c>
    </row>
    <row r="167" spans="2:5" ht="30" customHeight="1" x14ac:dyDescent="0.25">
      <c r="B167" s="1" t="s">
        <v>237</v>
      </c>
      <c r="C167" s="1" t="s">
        <v>119</v>
      </c>
      <c r="D167" s="3">
        <v>6</v>
      </c>
      <c r="E167" s="3">
        <v>1570</v>
      </c>
    </row>
    <row r="168" spans="2:5" ht="30" customHeight="1" x14ac:dyDescent="0.25">
      <c r="B168" s="1" t="s">
        <v>238</v>
      </c>
      <c r="C168" s="1" t="s">
        <v>119</v>
      </c>
      <c r="D168" s="3">
        <v>3</v>
      </c>
      <c r="E168" s="3">
        <v>810</v>
      </c>
    </row>
    <row r="169" spans="2:5" ht="30" customHeight="1" x14ac:dyDescent="0.25">
      <c r="B169" s="9" t="s">
        <v>242</v>
      </c>
      <c r="C169" s="9" t="s">
        <v>121</v>
      </c>
      <c r="D169" s="8">
        <v>0.25</v>
      </c>
      <c r="E169" s="8">
        <v>4</v>
      </c>
    </row>
  </sheetData>
  <conditionalFormatting sqref="B144">
    <cfRule type="expression" dxfId="35" priority="1">
      <formula>COUNTIF(item_names,$B6)&gt;1</formula>
    </cfRule>
  </conditionalFormatting>
  <dataValidations disablePrompts="1" count="1">
    <dataValidation type="list" allowBlank="1" showInputMessage="1" showErrorMessage="1" sqref="C6:C169" xr:uid="{ECC23F24-975B-4B36-AA88-4A8CE27D08F3}">
      <formula1>item_category_names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8E820-A441-4CEB-BAE7-FB7D0FA954EA}">
  <dimension ref="B1:T239"/>
  <sheetViews>
    <sheetView tabSelected="1" topLeftCell="A85" workbookViewId="0">
      <selection activeCell="F98" sqref="F98"/>
    </sheetView>
  </sheetViews>
  <sheetFormatPr defaultColWidth="16.7109375" defaultRowHeight="30" customHeight="1" x14ac:dyDescent="0.25"/>
  <cols>
    <col min="1" max="2" width="16.7109375" style="1"/>
    <col min="3" max="3" width="28.7109375" style="1" customWidth="1"/>
    <col min="4" max="5" width="16.7109375" style="1"/>
    <col min="6" max="6" width="16.7109375" style="1" customWidth="1"/>
    <col min="7" max="7" width="28.7109375" style="1" customWidth="1"/>
    <col min="8" max="8" width="16.7109375" style="3"/>
    <col min="9" max="9" width="16.7109375" style="3" customWidth="1"/>
    <col min="10" max="10" width="16.7109375" style="1" customWidth="1"/>
    <col min="11" max="11" width="28.7109375" style="1" customWidth="1"/>
    <col min="12" max="12" width="16.7109375" style="3" customWidth="1"/>
    <col min="13" max="13" width="16.7109375" style="3"/>
    <col min="14" max="14" width="16.7109375" style="1"/>
    <col min="15" max="15" width="28.7109375" style="1" customWidth="1"/>
    <col min="16" max="16" width="16.7109375" style="3" customWidth="1"/>
    <col min="17" max="17" width="16.7109375" style="3"/>
    <col min="18" max="16384" width="16.7109375" style="1"/>
  </cols>
  <sheetData>
    <row r="1" spans="2:20" ht="30" customHeight="1" x14ac:dyDescent="0.25">
      <c r="K1" s="3"/>
      <c r="L1" s="1"/>
      <c r="O1" s="3"/>
      <c r="P1" s="1"/>
    </row>
    <row r="2" spans="2:20" ht="30" customHeight="1" x14ac:dyDescent="0.25">
      <c r="L2" s="1"/>
      <c r="O2" s="3"/>
      <c r="P2" s="1"/>
    </row>
    <row r="3" spans="2:20" ht="30" customHeight="1" x14ac:dyDescent="0.25">
      <c r="B3" s="2" t="s">
        <v>34</v>
      </c>
      <c r="C3" s="7" t="s">
        <v>224</v>
      </c>
      <c r="G3" s="2" t="s">
        <v>241</v>
      </c>
      <c r="H3" s="10">
        <f>_xlfn.XLOOKUP(C3, recipe_schemes[Item], recipe_schemes[ID], "NO MATCH")</f>
        <v>53</v>
      </c>
      <c r="J3" s="2" t="s">
        <v>178</v>
      </c>
      <c r="K3" s="7" t="str" cm="1">
        <f t="array" ref="K3">_xlfn.TEXTJOIN(", ",TRUE,_xlfn._xlws.FILTER(recipe_outputs[Recipe ID],recipe_outputs[Item]=C3,"NO MATCH"))</f>
        <v>99</v>
      </c>
      <c r="L3" s="1"/>
      <c r="O3" s="3"/>
      <c r="P3" s="1"/>
    </row>
    <row r="4" spans="2:20" ht="30" customHeight="1" x14ac:dyDescent="0.25">
      <c r="K4" s="3"/>
      <c r="L4" s="1"/>
      <c r="O4" s="3"/>
      <c r="P4" s="1"/>
    </row>
    <row r="5" spans="2:20" ht="30" customHeight="1" x14ac:dyDescent="0.25">
      <c r="B5" s="2" t="s">
        <v>93</v>
      </c>
      <c r="C5" s="2"/>
      <c r="D5" s="2"/>
      <c r="E5" s="2"/>
      <c r="F5" s="2"/>
      <c r="H5" s="2" t="s">
        <v>38</v>
      </c>
      <c r="K5" s="2" t="s">
        <v>17</v>
      </c>
      <c r="L5" s="1"/>
      <c r="O5" s="2" t="s">
        <v>19</v>
      </c>
      <c r="P5" s="1"/>
      <c r="T5" s="3"/>
    </row>
    <row r="6" spans="2:20" ht="30" customHeight="1" thickBot="1" x14ac:dyDescent="0.3">
      <c r="K6" s="3"/>
      <c r="L6" s="1"/>
      <c r="O6" s="3"/>
      <c r="P6" s="1"/>
    </row>
    <row r="7" spans="2:20" ht="30" customHeight="1" thickBot="1" x14ac:dyDescent="0.3">
      <c r="B7" s="1" t="s">
        <v>1</v>
      </c>
      <c r="C7" s="1" t="s">
        <v>34</v>
      </c>
      <c r="D7" s="1" t="s">
        <v>44</v>
      </c>
      <c r="E7" s="1" t="s">
        <v>45</v>
      </c>
      <c r="F7" s="1" t="s">
        <v>94</v>
      </c>
      <c r="H7" s="1" t="s">
        <v>1</v>
      </c>
      <c r="I7" s="1" t="s">
        <v>18</v>
      </c>
      <c r="K7" s="5" t="s">
        <v>34</v>
      </c>
      <c r="L7" s="5" t="s">
        <v>21</v>
      </c>
      <c r="M7" s="1" t="s">
        <v>20</v>
      </c>
      <c r="O7" s="5" t="s">
        <v>34</v>
      </c>
      <c r="P7" s="1" t="s">
        <v>21</v>
      </c>
      <c r="Q7" s="5" t="s">
        <v>20</v>
      </c>
    </row>
    <row r="8" spans="2:20" ht="30" customHeight="1" x14ac:dyDescent="0.25">
      <c r="B8" s="1">
        <v>1</v>
      </c>
      <c r="C8" s="1" t="s">
        <v>109</v>
      </c>
      <c r="D8" s="1" t="s">
        <v>41</v>
      </c>
      <c r="E8" s="1">
        <v>10</v>
      </c>
      <c r="F8" s="1">
        <v>50</v>
      </c>
      <c r="H8" s="3">
        <v>1</v>
      </c>
      <c r="I8" s="3">
        <v>3</v>
      </c>
      <c r="K8" s="1" t="s">
        <v>13</v>
      </c>
      <c r="L8" s="3">
        <v>1</v>
      </c>
      <c r="M8" s="3">
        <v>1</v>
      </c>
      <c r="O8" s="1" t="s">
        <v>5</v>
      </c>
      <c r="P8" s="3">
        <v>1</v>
      </c>
      <c r="Q8" s="3">
        <v>1</v>
      </c>
    </row>
    <row r="9" spans="2:20" ht="30" customHeight="1" x14ac:dyDescent="0.25">
      <c r="B9" s="1">
        <v>2</v>
      </c>
      <c r="C9" s="1" t="s">
        <v>110</v>
      </c>
      <c r="D9" s="1" t="s">
        <v>41</v>
      </c>
      <c r="E9" s="1">
        <v>10</v>
      </c>
      <c r="F9" s="1">
        <v>50</v>
      </c>
      <c r="H9" s="3">
        <v>2</v>
      </c>
      <c r="I9" s="3">
        <v>5</v>
      </c>
      <c r="K9" s="1" t="s">
        <v>14</v>
      </c>
      <c r="L9" s="3">
        <v>10</v>
      </c>
      <c r="M9" s="3">
        <v>1</v>
      </c>
      <c r="O9" s="1" t="s">
        <v>8</v>
      </c>
      <c r="P9" s="3">
        <v>1</v>
      </c>
      <c r="Q9" s="3">
        <v>2</v>
      </c>
    </row>
    <row r="10" spans="2:20" ht="30" customHeight="1" x14ac:dyDescent="0.25">
      <c r="B10" s="1">
        <v>3</v>
      </c>
      <c r="C10" s="1" t="s">
        <v>111</v>
      </c>
      <c r="D10" s="1" t="s">
        <v>41</v>
      </c>
      <c r="E10" s="1">
        <v>50</v>
      </c>
      <c r="F10" s="1">
        <v>50</v>
      </c>
      <c r="H10" s="3">
        <v>3</v>
      </c>
      <c r="I10" s="3">
        <v>5</v>
      </c>
      <c r="K10" s="1" t="s">
        <v>14</v>
      </c>
      <c r="L10" s="3">
        <v>10</v>
      </c>
      <c r="M10" s="3">
        <v>2</v>
      </c>
      <c r="O10" s="1" t="s">
        <v>9</v>
      </c>
      <c r="P10" s="3">
        <v>1</v>
      </c>
      <c r="Q10" s="3">
        <v>3</v>
      </c>
    </row>
    <row r="11" spans="2:20" ht="30" customHeight="1" x14ac:dyDescent="0.25">
      <c r="B11" s="1">
        <v>4</v>
      </c>
      <c r="C11" s="1" t="s">
        <v>125</v>
      </c>
      <c r="D11" s="1" t="s">
        <v>43</v>
      </c>
      <c r="E11" s="1">
        <v>5</v>
      </c>
      <c r="F11" s="1">
        <v>50</v>
      </c>
      <c r="H11" s="3">
        <v>4</v>
      </c>
      <c r="I11" s="3">
        <v>2</v>
      </c>
      <c r="K11" s="1" t="s">
        <v>15</v>
      </c>
      <c r="L11" s="3">
        <v>2</v>
      </c>
      <c r="M11" s="3">
        <v>2</v>
      </c>
      <c r="O11" s="1" t="s">
        <v>6</v>
      </c>
      <c r="P11" s="3">
        <v>1</v>
      </c>
      <c r="Q11" s="3">
        <v>4</v>
      </c>
    </row>
    <row r="12" spans="2:20" ht="30" customHeight="1" x14ac:dyDescent="0.25">
      <c r="B12" s="1">
        <v>5</v>
      </c>
      <c r="C12" s="1" t="s">
        <v>126</v>
      </c>
      <c r="D12" s="1" t="s">
        <v>43</v>
      </c>
      <c r="E12" s="1">
        <v>5</v>
      </c>
      <c r="F12" s="1">
        <v>100</v>
      </c>
      <c r="H12" s="3">
        <v>5</v>
      </c>
      <c r="I12" s="3">
        <v>3</v>
      </c>
      <c r="K12" s="1" t="s">
        <v>13</v>
      </c>
      <c r="L12" s="3">
        <v>1</v>
      </c>
      <c r="M12" s="3">
        <v>3</v>
      </c>
      <c r="O12" s="1" t="s">
        <v>7</v>
      </c>
      <c r="P12" s="3">
        <v>1</v>
      </c>
      <c r="Q12" s="3">
        <v>5</v>
      </c>
    </row>
    <row r="13" spans="2:20" ht="30" customHeight="1" x14ac:dyDescent="0.25">
      <c r="B13" s="1">
        <v>6</v>
      </c>
      <c r="C13" s="1" t="s">
        <v>127</v>
      </c>
      <c r="D13" s="1" t="s">
        <v>43</v>
      </c>
      <c r="E13" s="1">
        <v>5</v>
      </c>
      <c r="F13" s="1">
        <v>100</v>
      </c>
      <c r="H13" s="3">
        <v>6</v>
      </c>
      <c r="I13" s="3">
        <v>3</v>
      </c>
      <c r="K13" s="1" t="s">
        <v>15</v>
      </c>
      <c r="L13" s="3">
        <v>4</v>
      </c>
      <c r="M13" s="3">
        <v>3</v>
      </c>
      <c r="O13" s="1" t="s">
        <v>35</v>
      </c>
      <c r="P13" s="3">
        <v>1</v>
      </c>
      <c r="Q13" s="3">
        <v>6</v>
      </c>
    </row>
    <row r="14" spans="2:20" ht="30" customHeight="1" x14ac:dyDescent="0.25">
      <c r="B14" s="1">
        <v>7</v>
      </c>
      <c r="C14" s="1" t="s">
        <v>128</v>
      </c>
      <c r="D14" s="1" t="s">
        <v>43</v>
      </c>
      <c r="E14" s="1">
        <v>5</v>
      </c>
      <c r="F14" s="1">
        <v>100</v>
      </c>
      <c r="H14" s="3">
        <v>7</v>
      </c>
      <c r="I14" s="3">
        <v>5</v>
      </c>
      <c r="K14" s="1" t="s">
        <v>13</v>
      </c>
      <c r="L14" s="3">
        <v>2</v>
      </c>
      <c r="M14" s="3">
        <v>4</v>
      </c>
      <c r="O14" s="1" t="s">
        <v>11</v>
      </c>
      <c r="P14" s="3">
        <v>1</v>
      </c>
      <c r="Q14" s="3">
        <v>7</v>
      </c>
    </row>
    <row r="15" spans="2:20" ht="30" customHeight="1" x14ac:dyDescent="0.25">
      <c r="B15" s="1">
        <v>8</v>
      </c>
      <c r="C15" s="1" t="s">
        <v>129</v>
      </c>
      <c r="D15" s="1" t="s">
        <v>43</v>
      </c>
      <c r="E15" s="1">
        <v>5</v>
      </c>
      <c r="F15" s="1">
        <v>50</v>
      </c>
      <c r="H15" s="3">
        <v>8</v>
      </c>
      <c r="I15" s="3">
        <v>6</v>
      </c>
      <c r="K15" s="1" t="s">
        <v>13</v>
      </c>
      <c r="L15" s="3">
        <v>1</v>
      </c>
      <c r="M15" s="3">
        <v>5</v>
      </c>
      <c r="O15" s="1" t="s">
        <v>10</v>
      </c>
      <c r="P15" s="3">
        <v>1</v>
      </c>
      <c r="Q15" s="3">
        <v>8</v>
      </c>
    </row>
    <row r="16" spans="2:20" ht="30" customHeight="1" x14ac:dyDescent="0.25">
      <c r="B16" s="1">
        <v>9</v>
      </c>
      <c r="C16" s="1" t="s">
        <v>130</v>
      </c>
      <c r="D16" s="1" t="s">
        <v>43</v>
      </c>
      <c r="E16" s="1">
        <v>5</v>
      </c>
      <c r="F16" s="1">
        <v>50</v>
      </c>
      <c r="H16" s="3">
        <v>9</v>
      </c>
      <c r="I16" s="3">
        <v>3</v>
      </c>
      <c r="K16" s="1" t="s">
        <v>14</v>
      </c>
      <c r="L16" s="3">
        <v>5</v>
      </c>
      <c r="M16" s="3">
        <v>5</v>
      </c>
      <c r="O16" s="1" t="s">
        <v>12</v>
      </c>
      <c r="P16" s="3">
        <v>1</v>
      </c>
      <c r="Q16" s="3">
        <v>9</v>
      </c>
    </row>
    <row r="17" spans="2:17" ht="30" customHeight="1" x14ac:dyDescent="0.25">
      <c r="B17" s="1">
        <v>10</v>
      </c>
      <c r="C17" s="1" t="s">
        <v>98</v>
      </c>
      <c r="D17" s="1" t="s">
        <v>43</v>
      </c>
      <c r="E17" s="1">
        <v>5</v>
      </c>
      <c r="F17" s="1">
        <v>100</v>
      </c>
      <c r="H17" s="3">
        <v>10</v>
      </c>
      <c r="I17" s="3">
        <v>2</v>
      </c>
      <c r="K17" s="1" t="s">
        <v>16</v>
      </c>
      <c r="L17" s="3">
        <v>1</v>
      </c>
      <c r="M17" s="3">
        <v>6</v>
      </c>
      <c r="O17" s="1" t="s">
        <v>36</v>
      </c>
      <c r="P17" s="3">
        <v>1</v>
      </c>
      <c r="Q17" s="3">
        <v>10</v>
      </c>
    </row>
    <row r="18" spans="2:17" ht="30" customHeight="1" x14ac:dyDescent="0.25">
      <c r="B18" s="1">
        <v>11</v>
      </c>
      <c r="C18" s="1" t="s">
        <v>131</v>
      </c>
      <c r="D18" s="1" t="s">
        <v>43</v>
      </c>
      <c r="E18" s="1">
        <v>5</v>
      </c>
      <c r="F18" s="1">
        <v>50</v>
      </c>
      <c r="H18" s="3">
        <v>11</v>
      </c>
      <c r="I18" s="3">
        <v>2</v>
      </c>
      <c r="K18" s="1" t="s">
        <v>14</v>
      </c>
      <c r="L18" s="3">
        <v>4</v>
      </c>
      <c r="M18" s="3">
        <v>7</v>
      </c>
      <c r="O18" s="1" t="s">
        <v>37</v>
      </c>
      <c r="P18" s="3">
        <v>1</v>
      </c>
      <c r="Q18" s="3">
        <v>11</v>
      </c>
    </row>
    <row r="19" spans="2:17" ht="30" customHeight="1" x14ac:dyDescent="0.25">
      <c r="B19" s="1">
        <v>12</v>
      </c>
      <c r="C19" s="1" t="s">
        <v>132</v>
      </c>
      <c r="D19" s="1" t="s">
        <v>42</v>
      </c>
      <c r="E19" s="1">
        <v>50</v>
      </c>
      <c r="F19" s="1">
        <v>250</v>
      </c>
      <c r="H19" s="3">
        <v>12</v>
      </c>
      <c r="I19" s="3">
        <v>3</v>
      </c>
      <c r="K19" s="1" t="s">
        <v>15</v>
      </c>
      <c r="L19" s="3">
        <v>4</v>
      </c>
      <c r="M19" s="3">
        <v>7</v>
      </c>
      <c r="O19" s="1" t="s">
        <v>26</v>
      </c>
      <c r="P19" s="3">
        <v>1</v>
      </c>
      <c r="Q19" s="3">
        <v>12</v>
      </c>
    </row>
    <row r="20" spans="2:17" ht="30" customHeight="1" x14ac:dyDescent="0.25">
      <c r="B20" s="1">
        <v>13</v>
      </c>
      <c r="C20" s="1" t="s">
        <v>133</v>
      </c>
      <c r="D20" s="1" t="s">
        <v>42</v>
      </c>
      <c r="E20" s="1">
        <v>50</v>
      </c>
      <c r="F20" s="1">
        <v>50</v>
      </c>
      <c r="H20" s="3">
        <v>13</v>
      </c>
      <c r="I20" s="3">
        <v>3</v>
      </c>
      <c r="K20" s="1" t="s">
        <v>14</v>
      </c>
      <c r="L20" s="3">
        <v>5</v>
      </c>
      <c r="M20" s="3">
        <v>8</v>
      </c>
      <c r="O20" s="1" t="s">
        <v>26</v>
      </c>
      <c r="P20" s="3">
        <v>1</v>
      </c>
      <c r="Q20" s="3">
        <v>13</v>
      </c>
    </row>
    <row r="21" spans="2:17" ht="30" customHeight="1" x14ac:dyDescent="0.25">
      <c r="B21" s="1">
        <v>14</v>
      </c>
      <c r="C21" s="1" t="s">
        <v>134</v>
      </c>
      <c r="D21" s="1" t="s">
        <v>42</v>
      </c>
      <c r="E21" s="1">
        <v>50</v>
      </c>
      <c r="F21" s="1">
        <v>100</v>
      </c>
      <c r="H21" s="3">
        <v>14</v>
      </c>
      <c r="I21" s="3">
        <v>3</v>
      </c>
      <c r="K21" s="1" t="s">
        <v>15</v>
      </c>
      <c r="L21" s="3">
        <v>2</v>
      </c>
      <c r="M21" s="3">
        <v>8</v>
      </c>
      <c r="O21" s="1" t="s">
        <v>27</v>
      </c>
      <c r="P21" s="3">
        <v>1</v>
      </c>
      <c r="Q21" s="3">
        <v>14</v>
      </c>
    </row>
    <row r="22" spans="2:17" ht="30" customHeight="1" x14ac:dyDescent="0.25">
      <c r="B22" s="1">
        <v>15</v>
      </c>
      <c r="C22" s="1" t="s">
        <v>135</v>
      </c>
      <c r="D22" s="1" t="s">
        <v>42</v>
      </c>
      <c r="E22" s="1">
        <v>50</v>
      </c>
      <c r="F22" s="1">
        <v>50</v>
      </c>
      <c r="H22" s="3">
        <v>15</v>
      </c>
      <c r="I22" s="3">
        <v>3</v>
      </c>
      <c r="K22" s="1" t="s">
        <v>13</v>
      </c>
      <c r="L22" s="3">
        <v>1</v>
      </c>
      <c r="M22" s="3">
        <v>9</v>
      </c>
      <c r="O22" s="1" t="s">
        <v>27</v>
      </c>
      <c r="P22" s="3">
        <v>1</v>
      </c>
      <c r="Q22" s="3">
        <v>15</v>
      </c>
    </row>
    <row r="23" spans="2:17" ht="30" customHeight="1" x14ac:dyDescent="0.25">
      <c r="B23" s="1">
        <v>16</v>
      </c>
      <c r="C23" s="1" t="s">
        <v>136</v>
      </c>
      <c r="D23" s="1" t="s">
        <v>42</v>
      </c>
      <c r="E23" s="1">
        <v>100</v>
      </c>
      <c r="F23" s="1">
        <v>250</v>
      </c>
      <c r="H23" s="3">
        <v>16</v>
      </c>
      <c r="I23" s="3">
        <v>4</v>
      </c>
      <c r="K23" s="1" t="s">
        <v>14</v>
      </c>
      <c r="L23" s="3">
        <v>1</v>
      </c>
      <c r="M23" s="3">
        <v>10</v>
      </c>
      <c r="O23" s="1" t="s">
        <v>27</v>
      </c>
      <c r="P23" s="3">
        <v>4</v>
      </c>
      <c r="Q23" s="3">
        <v>16</v>
      </c>
    </row>
    <row r="24" spans="2:17" ht="30" customHeight="1" x14ac:dyDescent="0.25">
      <c r="B24" s="1">
        <v>17</v>
      </c>
      <c r="C24" s="1" t="s">
        <v>137</v>
      </c>
      <c r="D24" s="1" t="s">
        <v>42</v>
      </c>
      <c r="E24" s="1">
        <v>100</v>
      </c>
      <c r="F24" s="1">
        <v>250</v>
      </c>
      <c r="H24" s="3">
        <v>17</v>
      </c>
      <c r="I24" s="3">
        <v>4</v>
      </c>
      <c r="K24" s="1" t="s">
        <v>22</v>
      </c>
      <c r="L24" s="3">
        <v>9</v>
      </c>
      <c r="M24" s="3">
        <v>10</v>
      </c>
      <c r="O24" s="1" t="s">
        <v>27</v>
      </c>
      <c r="P24" s="3">
        <v>7</v>
      </c>
      <c r="Q24" s="3">
        <v>17</v>
      </c>
    </row>
    <row r="25" spans="2:17" ht="30" customHeight="1" x14ac:dyDescent="0.25">
      <c r="B25" s="1">
        <v>18</v>
      </c>
      <c r="C25" s="1" t="s">
        <v>138</v>
      </c>
      <c r="D25" s="1" t="s">
        <v>42</v>
      </c>
      <c r="E25" s="1">
        <v>100</v>
      </c>
      <c r="F25" s="1">
        <v>250</v>
      </c>
      <c r="H25" s="3">
        <v>18</v>
      </c>
      <c r="I25" s="3">
        <v>4</v>
      </c>
      <c r="K25" s="1" t="s">
        <v>24</v>
      </c>
      <c r="L25" s="3">
        <v>1</v>
      </c>
      <c r="M25" s="3">
        <v>12</v>
      </c>
      <c r="O25" s="1" t="s">
        <v>27</v>
      </c>
      <c r="P25" s="3">
        <v>1</v>
      </c>
      <c r="Q25" s="3">
        <v>18</v>
      </c>
    </row>
    <row r="26" spans="2:17" ht="30" customHeight="1" x14ac:dyDescent="0.25">
      <c r="B26" s="1">
        <v>19</v>
      </c>
      <c r="C26" s="1" t="s">
        <v>139</v>
      </c>
      <c r="D26" s="1" t="s">
        <v>42</v>
      </c>
      <c r="E26" s="1">
        <v>100</v>
      </c>
      <c r="F26" s="1">
        <v>100</v>
      </c>
      <c r="H26" s="3">
        <v>19</v>
      </c>
      <c r="I26" s="3">
        <v>2</v>
      </c>
      <c r="K26" s="1" t="s">
        <v>29</v>
      </c>
      <c r="L26" s="3">
        <v>1</v>
      </c>
      <c r="M26" s="3">
        <v>13</v>
      </c>
      <c r="O26" s="1" t="s">
        <v>28</v>
      </c>
      <c r="P26" s="3">
        <v>10</v>
      </c>
      <c r="Q26" s="3">
        <v>19</v>
      </c>
    </row>
    <row r="27" spans="2:17" ht="30" customHeight="1" x14ac:dyDescent="0.25">
      <c r="B27" s="1">
        <v>20</v>
      </c>
      <c r="C27" s="1" t="s">
        <v>140</v>
      </c>
      <c r="D27" s="1" t="s">
        <v>42</v>
      </c>
      <c r="E27" s="1">
        <v>100</v>
      </c>
      <c r="F27" s="1">
        <v>250</v>
      </c>
      <c r="H27" s="3">
        <v>20</v>
      </c>
      <c r="I27" s="3">
        <v>4</v>
      </c>
      <c r="K27" s="1" t="s">
        <v>25</v>
      </c>
      <c r="L27" s="3">
        <v>1</v>
      </c>
      <c r="M27" s="3">
        <v>14</v>
      </c>
      <c r="O27" s="1" t="s">
        <v>95</v>
      </c>
      <c r="P27" s="3">
        <v>2</v>
      </c>
      <c r="Q27" s="3">
        <v>20</v>
      </c>
    </row>
    <row r="28" spans="2:17" ht="30" customHeight="1" x14ac:dyDescent="0.25">
      <c r="B28" s="1">
        <v>21</v>
      </c>
      <c r="C28" s="1" t="s">
        <v>141</v>
      </c>
      <c r="D28" s="1" t="s">
        <v>42</v>
      </c>
      <c r="E28" s="1">
        <v>100</v>
      </c>
      <c r="F28" s="1">
        <v>100</v>
      </c>
      <c r="H28" s="3">
        <v>21</v>
      </c>
      <c r="I28" s="3">
        <v>4</v>
      </c>
      <c r="K28" s="1" t="s">
        <v>29</v>
      </c>
      <c r="L28" s="3">
        <v>1</v>
      </c>
      <c r="M28" s="3">
        <v>15</v>
      </c>
      <c r="O28" s="1" t="s">
        <v>23</v>
      </c>
      <c r="P28" s="3">
        <v>4</v>
      </c>
      <c r="Q28" s="3">
        <v>21</v>
      </c>
    </row>
    <row r="29" spans="2:17" ht="30" customHeight="1" x14ac:dyDescent="0.25">
      <c r="B29" s="1">
        <v>22</v>
      </c>
      <c r="C29" s="1" t="s">
        <v>142</v>
      </c>
      <c r="D29" s="1" t="s">
        <v>42</v>
      </c>
      <c r="E29" s="1">
        <v>100</v>
      </c>
      <c r="F29" s="1">
        <v>250</v>
      </c>
      <c r="H29" s="3">
        <v>22</v>
      </c>
      <c r="I29" s="3">
        <v>2</v>
      </c>
      <c r="K29" s="1" t="s">
        <v>31</v>
      </c>
      <c r="L29" s="3">
        <v>1</v>
      </c>
      <c r="M29" s="3">
        <v>16</v>
      </c>
      <c r="O29" s="1" t="s">
        <v>97</v>
      </c>
      <c r="P29" s="3">
        <v>1</v>
      </c>
      <c r="Q29" s="3">
        <v>22</v>
      </c>
    </row>
    <row r="30" spans="2:17" ht="30" customHeight="1" x14ac:dyDescent="0.25">
      <c r="B30" s="1">
        <v>23</v>
      </c>
      <c r="C30" s="1" t="s">
        <v>143</v>
      </c>
      <c r="D30" s="1" t="s">
        <v>42</v>
      </c>
      <c r="E30" s="1">
        <v>100</v>
      </c>
      <c r="F30" s="1">
        <v>100</v>
      </c>
      <c r="H30" s="3">
        <v>23</v>
      </c>
      <c r="I30" s="3">
        <v>2</v>
      </c>
      <c r="K30" s="1" t="s">
        <v>32</v>
      </c>
      <c r="L30" s="3">
        <v>1</v>
      </c>
      <c r="M30" s="3">
        <v>17</v>
      </c>
      <c r="O30" s="1" t="s">
        <v>99</v>
      </c>
      <c r="P30" s="3">
        <v>1</v>
      </c>
      <c r="Q30" s="3">
        <v>23</v>
      </c>
    </row>
    <row r="31" spans="2:17" ht="30" customHeight="1" x14ac:dyDescent="0.25">
      <c r="B31" s="1">
        <v>24</v>
      </c>
      <c r="C31" s="1" t="s">
        <v>144</v>
      </c>
      <c r="D31" s="1" t="s">
        <v>42</v>
      </c>
      <c r="E31" s="1">
        <v>100</v>
      </c>
      <c r="F31" s="1">
        <v>250</v>
      </c>
      <c r="H31" s="3">
        <v>24</v>
      </c>
      <c r="I31" s="3">
        <v>1</v>
      </c>
      <c r="K31" s="1" t="s">
        <v>33</v>
      </c>
      <c r="L31" s="3">
        <v>1</v>
      </c>
      <c r="M31" s="3">
        <v>18</v>
      </c>
      <c r="O31" s="1" t="s">
        <v>101</v>
      </c>
      <c r="P31" s="3">
        <v>10</v>
      </c>
      <c r="Q31" s="3">
        <v>24</v>
      </c>
    </row>
    <row r="32" spans="2:17" ht="30" customHeight="1" x14ac:dyDescent="0.25">
      <c r="B32" s="1">
        <v>25</v>
      </c>
      <c r="C32" s="1" t="s">
        <v>145</v>
      </c>
      <c r="D32" s="1" t="s">
        <v>42</v>
      </c>
      <c r="E32" s="1">
        <v>100</v>
      </c>
      <c r="F32" s="1">
        <v>150</v>
      </c>
      <c r="H32" s="3">
        <v>25</v>
      </c>
      <c r="I32" s="3">
        <v>1</v>
      </c>
      <c r="K32" s="1" t="s">
        <v>23</v>
      </c>
      <c r="L32" s="3">
        <v>1</v>
      </c>
      <c r="M32" s="3">
        <v>19</v>
      </c>
      <c r="O32" s="1" t="s">
        <v>22</v>
      </c>
      <c r="P32" s="3">
        <v>7</v>
      </c>
      <c r="Q32" s="3">
        <v>24</v>
      </c>
    </row>
    <row r="33" spans="2:17" ht="30" customHeight="1" x14ac:dyDescent="0.25">
      <c r="B33" s="1">
        <v>26</v>
      </c>
      <c r="C33" s="1" t="s">
        <v>146</v>
      </c>
      <c r="D33" s="1" t="s">
        <v>42</v>
      </c>
      <c r="E33" s="1">
        <v>100</v>
      </c>
      <c r="F33" s="1">
        <v>150</v>
      </c>
      <c r="H33" s="3">
        <v>26</v>
      </c>
      <c r="I33" s="3">
        <v>1</v>
      </c>
      <c r="K33" s="1" t="s">
        <v>13</v>
      </c>
      <c r="L33" s="3">
        <v>1</v>
      </c>
      <c r="M33" s="3">
        <v>20</v>
      </c>
      <c r="O33" s="1" t="s">
        <v>103</v>
      </c>
      <c r="P33" s="3">
        <v>14</v>
      </c>
      <c r="Q33" s="3">
        <v>25</v>
      </c>
    </row>
    <row r="34" spans="2:17" ht="30" customHeight="1" x14ac:dyDescent="0.25">
      <c r="B34" s="1">
        <v>27</v>
      </c>
      <c r="C34" s="1" t="s">
        <v>147</v>
      </c>
      <c r="D34" s="1" t="s">
        <v>42</v>
      </c>
      <c r="E34" s="1">
        <v>100</v>
      </c>
      <c r="F34" s="1">
        <v>150</v>
      </c>
      <c r="H34" s="3">
        <v>27</v>
      </c>
      <c r="I34" s="3">
        <v>1</v>
      </c>
      <c r="K34" s="1" t="s">
        <v>13</v>
      </c>
      <c r="L34" s="3">
        <v>1</v>
      </c>
      <c r="M34" s="3">
        <v>21</v>
      </c>
      <c r="O34" s="1" t="s">
        <v>22</v>
      </c>
      <c r="P34" s="3">
        <v>7</v>
      </c>
      <c r="Q34" s="3">
        <v>25</v>
      </c>
    </row>
    <row r="35" spans="2:17" ht="30" customHeight="1" x14ac:dyDescent="0.25">
      <c r="B35" s="1">
        <v>28</v>
      </c>
      <c r="C35" s="1" t="s">
        <v>148</v>
      </c>
      <c r="D35" s="1" t="s">
        <v>42</v>
      </c>
      <c r="E35" s="1">
        <v>100</v>
      </c>
      <c r="F35" s="1">
        <v>150</v>
      </c>
      <c r="H35" s="3">
        <v>28</v>
      </c>
      <c r="I35" s="3">
        <v>1</v>
      </c>
      <c r="K35" s="1" t="s">
        <v>96</v>
      </c>
      <c r="L35" s="3">
        <v>1</v>
      </c>
      <c r="M35" s="3">
        <v>22</v>
      </c>
      <c r="O35" s="1" t="s">
        <v>105</v>
      </c>
      <c r="P35" s="3">
        <v>14</v>
      </c>
      <c r="Q35" s="3">
        <v>26</v>
      </c>
    </row>
    <row r="36" spans="2:17" ht="30" customHeight="1" x14ac:dyDescent="0.25">
      <c r="B36" s="1">
        <v>29</v>
      </c>
      <c r="C36" s="1" t="s">
        <v>149</v>
      </c>
      <c r="D36" s="1" t="s">
        <v>42</v>
      </c>
      <c r="E36" s="1">
        <v>100</v>
      </c>
      <c r="F36" s="1">
        <v>150</v>
      </c>
      <c r="H36" s="3">
        <v>29</v>
      </c>
      <c r="I36" s="3">
        <v>1</v>
      </c>
      <c r="K36" s="1" t="s">
        <v>98</v>
      </c>
      <c r="L36" s="3">
        <v>1</v>
      </c>
      <c r="M36" s="3">
        <v>23</v>
      </c>
      <c r="O36" s="1" t="s">
        <v>22</v>
      </c>
      <c r="P36" s="3">
        <v>7</v>
      </c>
      <c r="Q36" s="3">
        <v>26</v>
      </c>
    </row>
    <row r="37" spans="2:17" ht="30" customHeight="1" x14ac:dyDescent="0.25">
      <c r="B37" s="1">
        <v>30</v>
      </c>
      <c r="C37" s="1" t="s">
        <v>150</v>
      </c>
      <c r="D37" s="1" t="s">
        <v>42</v>
      </c>
      <c r="E37" s="1">
        <v>100</v>
      </c>
      <c r="F37" s="1">
        <v>150</v>
      </c>
      <c r="H37" s="3">
        <v>30</v>
      </c>
      <c r="I37" s="3">
        <v>1</v>
      </c>
      <c r="K37" s="1" t="s">
        <v>100</v>
      </c>
      <c r="L37" s="3">
        <v>7</v>
      </c>
      <c r="M37" s="3">
        <v>24</v>
      </c>
      <c r="O37" s="1" t="s">
        <v>107</v>
      </c>
      <c r="P37" s="3">
        <v>1</v>
      </c>
      <c r="Q37" s="3">
        <v>27</v>
      </c>
    </row>
    <row r="38" spans="2:17" ht="30" customHeight="1" x14ac:dyDescent="0.25">
      <c r="B38" s="1">
        <v>31</v>
      </c>
      <c r="C38" s="1" t="s">
        <v>151</v>
      </c>
      <c r="D38" s="1" t="s">
        <v>42</v>
      </c>
      <c r="E38" s="1">
        <v>100</v>
      </c>
      <c r="F38" s="1">
        <v>150</v>
      </c>
      <c r="H38" s="3">
        <v>31</v>
      </c>
      <c r="I38" s="3">
        <v>2</v>
      </c>
      <c r="K38" s="1" t="s">
        <v>102</v>
      </c>
      <c r="L38" s="3">
        <v>7</v>
      </c>
      <c r="M38" s="3">
        <v>25</v>
      </c>
      <c r="O38" s="1" t="s">
        <v>108</v>
      </c>
      <c r="P38" s="3">
        <v>2</v>
      </c>
      <c r="Q38" s="3">
        <v>27</v>
      </c>
    </row>
    <row r="39" spans="2:17" ht="30" customHeight="1" x14ac:dyDescent="0.25">
      <c r="B39" s="1">
        <v>32</v>
      </c>
      <c r="C39" s="1" t="s">
        <v>152</v>
      </c>
      <c r="D39" s="1" t="s">
        <v>42</v>
      </c>
      <c r="E39" s="1">
        <v>100</v>
      </c>
      <c r="F39" s="1">
        <v>150</v>
      </c>
      <c r="H39" s="3">
        <v>32</v>
      </c>
      <c r="I39" s="3">
        <v>10</v>
      </c>
      <c r="K39" s="1" t="s">
        <v>104</v>
      </c>
      <c r="L39" s="3">
        <v>7</v>
      </c>
      <c r="M39" s="3">
        <v>26</v>
      </c>
      <c r="O39" s="1" t="s">
        <v>109</v>
      </c>
      <c r="P39" s="3">
        <v>10</v>
      </c>
      <c r="Q39" s="3">
        <v>28</v>
      </c>
    </row>
    <row r="40" spans="2:17" ht="30" customHeight="1" x14ac:dyDescent="0.25">
      <c r="B40" s="1">
        <v>33</v>
      </c>
      <c r="C40" s="1" t="s">
        <v>153</v>
      </c>
      <c r="D40" s="1" t="s">
        <v>42</v>
      </c>
      <c r="E40" s="1">
        <v>100</v>
      </c>
      <c r="F40" s="1">
        <v>250</v>
      </c>
      <c r="H40" s="3">
        <v>33</v>
      </c>
      <c r="I40" s="3">
        <v>1</v>
      </c>
      <c r="K40" s="1" t="s">
        <v>106</v>
      </c>
      <c r="L40" s="3">
        <v>2</v>
      </c>
      <c r="M40" s="3">
        <v>27</v>
      </c>
      <c r="O40" s="1" t="s">
        <v>109</v>
      </c>
      <c r="P40" s="3">
        <v>12</v>
      </c>
      <c r="Q40" s="3">
        <v>29</v>
      </c>
    </row>
    <row r="41" spans="2:17" ht="30" customHeight="1" x14ac:dyDescent="0.25">
      <c r="B41" s="1">
        <v>34</v>
      </c>
      <c r="C41" s="1" t="s">
        <v>154</v>
      </c>
      <c r="D41" s="1" t="s">
        <v>42</v>
      </c>
      <c r="E41" s="1">
        <v>100</v>
      </c>
      <c r="F41" s="1">
        <v>250</v>
      </c>
      <c r="H41" s="3">
        <v>34</v>
      </c>
      <c r="I41" s="3">
        <v>1</v>
      </c>
      <c r="K41" s="1" t="s">
        <v>105</v>
      </c>
      <c r="L41" s="3">
        <v>6</v>
      </c>
      <c r="M41" s="3">
        <v>28</v>
      </c>
      <c r="O41" s="1" t="s">
        <v>109</v>
      </c>
      <c r="P41" s="3">
        <v>10</v>
      </c>
      <c r="Q41" s="3">
        <v>30</v>
      </c>
    </row>
    <row r="42" spans="2:17" ht="30" customHeight="1" x14ac:dyDescent="0.25">
      <c r="B42" s="1">
        <v>35</v>
      </c>
      <c r="C42" s="1" t="s">
        <v>155</v>
      </c>
      <c r="D42" s="1" t="s">
        <v>42</v>
      </c>
      <c r="E42" s="1">
        <v>100</v>
      </c>
      <c r="F42" s="1">
        <v>250</v>
      </c>
      <c r="H42" s="3">
        <v>35</v>
      </c>
      <c r="I42" s="3">
        <v>1</v>
      </c>
      <c r="K42" s="1" t="s">
        <v>101</v>
      </c>
      <c r="L42" s="3">
        <v>6</v>
      </c>
      <c r="M42" s="3">
        <v>29</v>
      </c>
      <c r="O42" s="1" t="s">
        <v>111</v>
      </c>
      <c r="P42" s="3">
        <v>1</v>
      </c>
      <c r="Q42" s="3">
        <v>31</v>
      </c>
    </row>
    <row r="43" spans="2:17" ht="30" customHeight="1" x14ac:dyDescent="0.25">
      <c r="B43" s="1">
        <v>36</v>
      </c>
      <c r="C43" s="1" t="s">
        <v>156</v>
      </c>
      <c r="D43" s="1" t="s">
        <v>42</v>
      </c>
      <c r="E43" s="1">
        <v>100</v>
      </c>
      <c r="F43" s="1">
        <v>250</v>
      </c>
      <c r="H43" s="3">
        <v>36</v>
      </c>
      <c r="I43" s="3">
        <v>5</v>
      </c>
      <c r="K43" s="1" t="s">
        <v>103</v>
      </c>
      <c r="L43" s="3">
        <v>6</v>
      </c>
      <c r="M43" s="3">
        <v>30</v>
      </c>
      <c r="O43" s="1" t="s">
        <v>110</v>
      </c>
      <c r="P43" s="3">
        <v>10</v>
      </c>
      <c r="Q43" s="3">
        <v>32</v>
      </c>
    </row>
    <row r="44" spans="2:17" ht="30" customHeight="1" x14ac:dyDescent="0.25">
      <c r="B44" s="1">
        <v>37</v>
      </c>
      <c r="C44" s="1" t="s">
        <v>184</v>
      </c>
      <c r="D44" s="1" t="s">
        <v>43</v>
      </c>
      <c r="E44" s="1">
        <v>25</v>
      </c>
      <c r="F44" s="1">
        <v>50</v>
      </c>
      <c r="H44" s="3">
        <v>37</v>
      </c>
      <c r="I44" s="3">
        <v>5</v>
      </c>
      <c r="K44" s="1" t="s">
        <v>103</v>
      </c>
      <c r="L44" s="3">
        <v>1</v>
      </c>
      <c r="M44" s="3">
        <v>31</v>
      </c>
      <c r="O44" s="1" t="s">
        <v>116</v>
      </c>
      <c r="P44" s="3">
        <v>1</v>
      </c>
      <c r="Q44" s="3">
        <v>33</v>
      </c>
    </row>
    <row r="45" spans="2:17" ht="30" customHeight="1" x14ac:dyDescent="0.25">
      <c r="B45" s="1">
        <v>38</v>
      </c>
      <c r="C45" s="1" t="s">
        <v>185</v>
      </c>
      <c r="D45" s="1" t="s">
        <v>43</v>
      </c>
      <c r="E45" s="1">
        <v>25</v>
      </c>
      <c r="F45" s="1">
        <v>50</v>
      </c>
      <c r="H45" s="3">
        <v>38</v>
      </c>
      <c r="I45" s="3">
        <v>5</v>
      </c>
      <c r="K45" s="1" t="s">
        <v>105</v>
      </c>
      <c r="L45" s="3">
        <v>1</v>
      </c>
      <c r="M45" s="3">
        <v>31</v>
      </c>
      <c r="O45" s="1" t="s">
        <v>116</v>
      </c>
      <c r="P45" s="3">
        <v>1</v>
      </c>
      <c r="Q45" s="3">
        <v>34</v>
      </c>
    </row>
    <row r="46" spans="2:17" ht="30" customHeight="1" x14ac:dyDescent="0.25">
      <c r="B46" s="1">
        <v>39</v>
      </c>
      <c r="C46" s="1" t="s">
        <v>186</v>
      </c>
      <c r="D46" s="1" t="s">
        <v>43</v>
      </c>
      <c r="E46" s="1">
        <v>25</v>
      </c>
      <c r="F46" s="1">
        <v>100</v>
      </c>
      <c r="H46" s="3">
        <v>39</v>
      </c>
      <c r="I46" s="3">
        <v>7</v>
      </c>
      <c r="K46" s="1" t="s">
        <v>22</v>
      </c>
      <c r="L46" s="3">
        <v>5</v>
      </c>
      <c r="M46" s="3">
        <v>31</v>
      </c>
      <c r="O46" s="1" t="s">
        <v>114</v>
      </c>
      <c r="P46" s="3">
        <v>2</v>
      </c>
      <c r="Q46" s="3">
        <v>35</v>
      </c>
    </row>
    <row r="47" spans="2:17" ht="30" customHeight="1" x14ac:dyDescent="0.25">
      <c r="B47" s="1">
        <v>40</v>
      </c>
      <c r="C47" s="1" t="s">
        <v>187</v>
      </c>
      <c r="D47" s="1" t="s">
        <v>43</v>
      </c>
      <c r="E47" s="1">
        <v>25</v>
      </c>
      <c r="F47" s="1">
        <v>100</v>
      </c>
      <c r="H47" s="3">
        <v>40</v>
      </c>
      <c r="I47" s="3">
        <v>2</v>
      </c>
      <c r="K47" s="1" t="s">
        <v>22</v>
      </c>
      <c r="L47" s="3">
        <v>10</v>
      </c>
      <c r="M47" s="3">
        <v>32</v>
      </c>
      <c r="O47" s="1" t="s">
        <v>132</v>
      </c>
      <c r="P47" s="3">
        <v>1</v>
      </c>
      <c r="Q47" s="3">
        <v>36</v>
      </c>
    </row>
    <row r="48" spans="2:17" ht="30" customHeight="1" x14ac:dyDescent="0.25">
      <c r="B48" s="1">
        <v>41</v>
      </c>
      <c r="C48" s="1" t="s">
        <v>188</v>
      </c>
      <c r="D48" s="1" t="s">
        <v>43</v>
      </c>
      <c r="E48" s="1">
        <v>25</v>
      </c>
      <c r="F48" s="1">
        <v>150</v>
      </c>
      <c r="H48" s="3">
        <v>41</v>
      </c>
      <c r="I48" s="3">
        <v>2</v>
      </c>
      <c r="K48" s="1" t="s">
        <v>124</v>
      </c>
      <c r="L48" s="3">
        <v>10</v>
      </c>
      <c r="M48" s="3">
        <v>32</v>
      </c>
      <c r="O48" s="1" t="s">
        <v>125</v>
      </c>
      <c r="P48" s="3">
        <v>1</v>
      </c>
      <c r="Q48" s="3">
        <v>37</v>
      </c>
    </row>
    <row r="49" spans="2:17" ht="30" customHeight="1" x14ac:dyDescent="0.25">
      <c r="B49" s="1">
        <v>42</v>
      </c>
      <c r="C49" s="1" t="s">
        <v>189</v>
      </c>
      <c r="D49" s="1" t="s">
        <v>43</v>
      </c>
      <c r="E49" s="1">
        <v>25</v>
      </c>
      <c r="F49" s="1">
        <v>150</v>
      </c>
      <c r="H49" s="3">
        <v>42</v>
      </c>
      <c r="I49" s="3">
        <v>2</v>
      </c>
      <c r="K49" s="1" t="s">
        <v>115</v>
      </c>
      <c r="L49" s="3">
        <v>2</v>
      </c>
      <c r="M49" s="3">
        <v>33</v>
      </c>
      <c r="O49" s="1" t="s">
        <v>98</v>
      </c>
      <c r="P49" s="3">
        <v>1</v>
      </c>
      <c r="Q49" s="3">
        <v>38</v>
      </c>
    </row>
    <row r="50" spans="2:17" ht="30" customHeight="1" x14ac:dyDescent="0.25">
      <c r="B50" s="1">
        <v>43</v>
      </c>
      <c r="C50" s="1" t="s">
        <v>190</v>
      </c>
      <c r="D50" s="1" t="s">
        <v>43</v>
      </c>
      <c r="E50" s="1">
        <v>25</v>
      </c>
      <c r="F50" s="1">
        <v>25</v>
      </c>
      <c r="H50" s="3">
        <v>43</v>
      </c>
      <c r="I50" s="3">
        <v>2</v>
      </c>
      <c r="K50" s="1" t="s">
        <v>112</v>
      </c>
      <c r="L50" s="3">
        <v>10</v>
      </c>
      <c r="M50" s="3">
        <v>34</v>
      </c>
      <c r="O50" s="1" t="s">
        <v>131</v>
      </c>
      <c r="P50" s="3">
        <v>10</v>
      </c>
      <c r="Q50" s="3">
        <v>39</v>
      </c>
    </row>
    <row r="51" spans="2:17" ht="30" customHeight="1" x14ac:dyDescent="0.25">
      <c r="B51" s="1">
        <v>44</v>
      </c>
      <c r="C51" s="1" t="s">
        <v>191</v>
      </c>
      <c r="D51" s="1" t="s">
        <v>43</v>
      </c>
      <c r="E51" s="1">
        <v>25</v>
      </c>
      <c r="F51" s="1">
        <v>100</v>
      </c>
      <c r="H51" s="3">
        <v>44</v>
      </c>
      <c r="I51" s="3">
        <v>2</v>
      </c>
      <c r="K51" s="1" t="s">
        <v>113</v>
      </c>
      <c r="L51" s="3">
        <v>1</v>
      </c>
      <c r="M51" s="3">
        <v>35</v>
      </c>
      <c r="O51" s="1" t="s">
        <v>126</v>
      </c>
      <c r="P51" s="3">
        <v>5</v>
      </c>
      <c r="Q51" s="3">
        <v>40</v>
      </c>
    </row>
    <row r="52" spans="2:17" ht="30" customHeight="1" x14ac:dyDescent="0.25">
      <c r="B52" s="1">
        <v>45</v>
      </c>
      <c r="C52" s="1" t="s">
        <v>192</v>
      </c>
      <c r="D52" s="1" t="s">
        <v>43</v>
      </c>
      <c r="E52" s="1">
        <v>25</v>
      </c>
      <c r="F52" s="1">
        <v>100</v>
      </c>
      <c r="H52" s="3">
        <v>45</v>
      </c>
      <c r="I52" s="3">
        <v>5</v>
      </c>
      <c r="K52" s="1" t="s">
        <v>14</v>
      </c>
      <c r="L52" s="3">
        <v>2</v>
      </c>
      <c r="M52" s="3">
        <v>36</v>
      </c>
      <c r="O52" s="1" t="s">
        <v>128</v>
      </c>
      <c r="P52" s="3">
        <v>5</v>
      </c>
      <c r="Q52" s="3">
        <v>41</v>
      </c>
    </row>
    <row r="53" spans="2:17" ht="30" customHeight="1" x14ac:dyDescent="0.25">
      <c r="B53" s="1">
        <v>46</v>
      </c>
      <c r="C53" s="1" t="s">
        <v>193</v>
      </c>
      <c r="D53" s="1" t="s">
        <v>43</v>
      </c>
      <c r="E53" s="1">
        <v>25</v>
      </c>
      <c r="F53" s="1">
        <v>100</v>
      </c>
      <c r="H53" s="3">
        <v>46</v>
      </c>
      <c r="I53" s="3">
        <v>5</v>
      </c>
      <c r="K53" s="1" t="s">
        <v>16</v>
      </c>
      <c r="L53" s="3">
        <v>2</v>
      </c>
      <c r="M53" s="3">
        <v>36</v>
      </c>
      <c r="O53" s="1" t="s">
        <v>127</v>
      </c>
      <c r="P53" s="3">
        <v>5</v>
      </c>
      <c r="Q53" s="3">
        <v>42</v>
      </c>
    </row>
    <row r="54" spans="2:17" ht="30" customHeight="1" x14ac:dyDescent="0.25">
      <c r="B54" s="1">
        <v>47</v>
      </c>
      <c r="C54" s="1" t="s">
        <v>194</v>
      </c>
      <c r="D54" s="1" t="s">
        <v>43</v>
      </c>
      <c r="E54" s="1">
        <v>25</v>
      </c>
      <c r="F54" s="1">
        <v>200</v>
      </c>
      <c r="H54" s="3">
        <v>47</v>
      </c>
      <c r="I54" s="3">
        <v>10</v>
      </c>
      <c r="K54" s="1" t="s">
        <v>14</v>
      </c>
      <c r="L54" s="3">
        <v>5</v>
      </c>
      <c r="M54" s="3">
        <v>37</v>
      </c>
      <c r="O54" s="1" t="s">
        <v>130</v>
      </c>
      <c r="P54" s="3">
        <v>1</v>
      </c>
      <c r="Q54" s="3">
        <v>43</v>
      </c>
    </row>
    <row r="55" spans="2:17" ht="30" customHeight="1" x14ac:dyDescent="0.25">
      <c r="B55" s="1">
        <v>48</v>
      </c>
      <c r="C55" s="1" t="s">
        <v>170</v>
      </c>
      <c r="D55" s="1" t="s">
        <v>43</v>
      </c>
      <c r="E55" s="1">
        <v>50</v>
      </c>
      <c r="F55" s="1">
        <v>50</v>
      </c>
      <c r="H55" s="3">
        <v>48</v>
      </c>
      <c r="I55" s="3">
        <v>2</v>
      </c>
      <c r="K55" s="1" t="s">
        <v>95</v>
      </c>
      <c r="L55" s="3">
        <v>2</v>
      </c>
      <c r="M55" s="3">
        <v>38</v>
      </c>
      <c r="O55" s="1" t="s">
        <v>129</v>
      </c>
      <c r="P55" s="3">
        <v>1</v>
      </c>
      <c r="Q55" s="3">
        <v>44</v>
      </c>
    </row>
    <row r="56" spans="2:17" ht="30" customHeight="1" x14ac:dyDescent="0.25">
      <c r="B56" s="1">
        <v>49</v>
      </c>
      <c r="C56" s="1" t="s">
        <v>216</v>
      </c>
      <c r="D56" s="1" t="s">
        <v>43</v>
      </c>
      <c r="E56" s="1">
        <v>50</v>
      </c>
      <c r="F56" s="1">
        <v>50</v>
      </c>
      <c r="H56" s="3">
        <v>49</v>
      </c>
      <c r="I56" s="3">
        <v>3</v>
      </c>
      <c r="K56" s="1" t="s">
        <v>95</v>
      </c>
      <c r="L56" s="3">
        <v>1</v>
      </c>
      <c r="M56" s="3">
        <v>39</v>
      </c>
      <c r="O56" s="1" t="s">
        <v>179</v>
      </c>
      <c r="P56" s="3">
        <v>1</v>
      </c>
      <c r="Q56" s="3">
        <v>45</v>
      </c>
    </row>
    <row r="57" spans="2:17" ht="30" customHeight="1" x14ac:dyDescent="0.25">
      <c r="B57" s="1">
        <v>50</v>
      </c>
      <c r="C57" s="1" t="s">
        <v>226</v>
      </c>
      <c r="D57" s="1" t="s">
        <v>43</v>
      </c>
      <c r="E57" s="1">
        <v>50</v>
      </c>
      <c r="F57" s="1">
        <v>150</v>
      </c>
      <c r="H57" s="3">
        <v>50</v>
      </c>
      <c r="I57" s="3">
        <v>3</v>
      </c>
      <c r="K57" s="1" t="s">
        <v>13</v>
      </c>
      <c r="L57" s="3">
        <v>1</v>
      </c>
      <c r="M57" s="3">
        <v>40</v>
      </c>
      <c r="O57" s="1" t="s">
        <v>180</v>
      </c>
      <c r="P57" s="3">
        <v>1</v>
      </c>
      <c r="Q57" s="3">
        <v>46</v>
      </c>
    </row>
    <row r="58" spans="2:17" ht="30" customHeight="1" x14ac:dyDescent="0.25">
      <c r="B58" s="1">
        <v>51</v>
      </c>
      <c r="C58" s="1" t="s">
        <v>219</v>
      </c>
      <c r="D58" s="1" t="s">
        <v>43</v>
      </c>
      <c r="E58" s="1">
        <v>50</v>
      </c>
      <c r="F58" s="1">
        <v>100</v>
      </c>
      <c r="H58" s="3">
        <v>51</v>
      </c>
      <c r="I58" s="3">
        <v>3</v>
      </c>
      <c r="K58" s="1" t="s">
        <v>13</v>
      </c>
      <c r="L58" s="3">
        <v>1</v>
      </c>
      <c r="M58" s="3">
        <v>41</v>
      </c>
      <c r="O58" s="1" t="s">
        <v>134</v>
      </c>
      <c r="P58" s="3">
        <v>1</v>
      </c>
      <c r="Q58" s="3">
        <v>47</v>
      </c>
    </row>
    <row r="59" spans="2:17" ht="30" customHeight="1" x14ac:dyDescent="0.25">
      <c r="B59" s="1">
        <v>52</v>
      </c>
      <c r="C59" s="1" t="s">
        <v>220</v>
      </c>
      <c r="D59" s="1" t="s">
        <v>43</v>
      </c>
      <c r="E59" s="1">
        <v>50</v>
      </c>
      <c r="F59" s="1">
        <v>150</v>
      </c>
      <c r="H59" s="3">
        <v>52</v>
      </c>
      <c r="I59" s="3">
        <v>3</v>
      </c>
      <c r="K59" s="1" t="s">
        <v>13</v>
      </c>
      <c r="L59" s="3">
        <v>1</v>
      </c>
      <c r="M59" s="3">
        <v>42</v>
      </c>
      <c r="O59" s="1" t="s">
        <v>135</v>
      </c>
      <c r="P59" s="3">
        <v>10</v>
      </c>
      <c r="Q59" s="3">
        <v>48</v>
      </c>
    </row>
    <row r="60" spans="2:17" ht="30" customHeight="1" x14ac:dyDescent="0.25">
      <c r="B60" s="1">
        <v>53</v>
      </c>
      <c r="C60" s="1" t="s">
        <v>224</v>
      </c>
      <c r="D60" s="1" t="s">
        <v>43</v>
      </c>
      <c r="E60" s="1">
        <v>50</v>
      </c>
      <c r="F60" s="1">
        <v>150</v>
      </c>
      <c r="H60" s="3">
        <v>53</v>
      </c>
      <c r="I60" s="3">
        <v>3</v>
      </c>
      <c r="K60" s="1" t="s">
        <v>14</v>
      </c>
      <c r="L60" s="3">
        <v>2</v>
      </c>
      <c r="M60" s="3">
        <v>43</v>
      </c>
      <c r="O60" s="1" t="s">
        <v>136</v>
      </c>
      <c r="P60" s="3">
        <v>1</v>
      </c>
      <c r="Q60" s="3">
        <v>49</v>
      </c>
    </row>
    <row r="61" spans="2:17" ht="30" customHeight="1" x14ac:dyDescent="0.25">
      <c r="B61" s="1">
        <v>54</v>
      </c>
      <c r="C61" s="1" t="s">
        <v>221</v>
      </c>
      <c r="D61" s="1" t="s">
        <v>43</v>
      </c>
      <c r="E61" s="1">
        <v>50</v>
      </c>
      <c r="F61" s="1">
        <v>100</v>
      </c>
      <c r="H61" s="3">
        <v>54</v>
      </c>
      <c r="I61" s="3">
        <v>3</v>
      </c>
      <c r="K61" s="1" t="s">
        <v>14</v>
      </c>
      <c r="L61" s="3">
        <v>2</v>
      </c>
      <c r="M61" s="3">
        <v>44</v>
      </c>
      <c r="O61" s="1" t="s">
        <v>137</v>
      </c>
      <c r="P61" s="3">
        <v>1</v>
      </c>
      <c r="Q61" s="3">
        <v>50</v>
      </c>
    </row>
    <row r="62" spans="2:17" ht="30" customHeight="1" x14ac:dyDescent="0.25">
      <c r="B62" s="1">
        <v>55</v>
      </c>
      <c r="C62" s="1" t="s">
        <v>223</v>
      </c>
      <c r="D62" s="1" t="s">
        <v>43</v>
      </c>
      <c r="E62" s="1">
        <v>50</v>
      </c>
      <c r="F62" s="1">
        <v>150</v>
      </c>
      <c r="H62" s="3">
        <v>55</v>
      </c>
      <c r="I62" s="3">
        <v>4</v>
      </c>
      <c r="K62" s="1" t="s">
        <v>24</v>
      </c>
      <c r="L62" s="3">
        <v>1</v>
      </c>
      <c r="M62" s="3">
        <v>45</v>
      </c>
      <c r="O62" s="1" t="s">
        <v>140</v>
      </c>
      <c r="P62" s="3">
        <v>1</v>
      </c>
      <c r="Q62" s="3">
        <v>51</v>
      </c>
    </row>
    <row r="63" spans="2:17" ht="30" customHeight="1" x14ac:dyDescent="0.25">
      <c r="B63" s="1">
        <v>56</v>
      </c>
      <c r="C63" s="1" t="s">
        <v>222</v>
      </c>
      <c r="D63" s="1" t="s">
        <v>43</v>
      </c>
      <c r="E63" s="1">
        <v>50</v>
      </c>
      <c r="F63" s="1">
        <v>150</v>
      </c>
      <c r="H63" s="3">
        <v>56</v>
      </c>
      <c r="I63" s="3">
        <v>4</v>
      </c>
      <c r="K63" s="1" t="s">
        <v>25</v>
      </c>
      <c r="L63" s="3">
        <v>1</v>
      </c>
      <c r="M63" s="3">
        <v>46</v>
      </c>
      <c r="O63" s="1" t="s">
        <v>138</v>
      </c>
      <c r="P63" s="3">
        <v>1</v>
      </c>
      <c r="Q63" s="3">
        <v>52</v>
      </c>
    </row>
    <row r="64" spans="2:17" ht="30" customHeight="1" x14ac:dyDescent="0.25">
      <c r="B64" s="1">
        <v>57</v>
      </c>
      <c r="C64" s="1" t="s">
        <v>167</v>
      </c>
      <c r="D64" s="1" t="s">
        <v>43</v>
      </c>
      <c r="E64" s="1">
        <v>50</v>
      </c>
      <c r="F64" s="1">
        <v>100</v>
      </c>
      <c r="H64" s="3">
        <v>57</v>
      </c>
      <c r="I64" s="3">
        <v>4</v>
      </c>
      <c r="K64" s="1" t="s">
        <v>13</v>
      </c>
      <c r="L64" s="3">
        <v>1</v>
      </c>
      <c r="M64" s="3">
        <v>47</v>
      </c>
      <c r="O64" s="1" t="s">
        <v>142</v>
      </c>
      <c r="P64" s="3">
        <v>1</v>
      </c>
      <c r="Q64" s="3">
        <v>53</v>
      </c>
    </row>
    <row r="65" spans="2:17" ht="30" customHeight="1" x14ac:dyDescent="0.25">
      <c r="B65" s="1">
        <v>58</v>
      </c>
      <c r="C65" s="1" t="s">
        <v>171</v>
      </c>
      <c r="D65" s="1" t="s">
        <v>43</v>
      </c>
      <c r="E65" s="1">
        <v>50</v>
      </c>
      <c r="F65" s="1">
        <v>100</v>
      </c>
      <c r="H65" s="3">
        <v>58</v>
      </c>
      <c r="I65" s="3">
        <v>4</v>
      </c>
      <c r="K65" s="1" t="s">
        <v>157</v>
      </c>
      <c r="L65" s="3">
        <v>2</v>
      </c>
      <c r="M65" s="3">
        <v>47</v>
      </c>
      <c r="O65" s="1" t="s">
        <v>144</v>
      </c>
      <c r="P65" s="3">
        <v>1</v>
      </c>
      <c r="Q65" s="3">
        <v>54</v>
      </c>
    </row>
    <row r="66" spans="2:17" ht="30" customHeight="1" x14ac:dyDescent="0.25">
      <c r="B66" s="1">
        <v>59</v>
      </c>
      <c r="C66" s="1" t="s">
        <v>225</v>
      </c>
      <c r="D66" s="1" t="s">
        <v>43</v>
      </c>
      <c r="E66" s="1">
        <v>50</v>
      </c>
      <c r="F66" s="1">
        <v>150</v>
      </c>
      <c r="H66" s="3">
        <v>59</v>
      </c>
      <c r="I66" s="3">
        <v>4</v>
      </c>
      <c r="K66" s="1" t="s">
        <v>14</v>
      </c>
      <c r="L66" s="3">
        <v>10</v>
      </c>
      <c r="M66" s="3">
        <v>48</v>
      </c>
      <c r="O66" s="1" t="s">
        <v>145</v>
      </c>
      <c r="P66" s="3">
        <v>10</v>
      </c>
      <c r="Q66" s="3">
        <v>55</v>
      </c>
    </row>
    <row r="67" spans="2:17" ht="30" customHeight="1" x14ac:dyDescent="0.25">
      <c r="B67" s="1">
        <v>60</v>
      </c>
      <c r="C67" s="1" t="s">
        <v>217</v>
      </c>
      <c r="D67" s="1" t="s">
        <v>43</v>
      </c>
      <c r="E67" s="1">
        <v>50</v>
      </c>
      <c r="F67" s="1">
        <v>50</v>
      </c>
      <c r="H67" s="3">
        <v>60</v>
      </c>
      <c r="I67" s="3">
        <v>4</v>
      </c>
      <c r="K67" s="1" t="s">
        <v>15</v>
      </c>
      <c r="L67" s="3">
        <v>2</v>
      </c>
      <c r="M67" s="3">
        <v>48</v>
      </c>
      <c r="O67" s="1" t="s">
        <v>146</v>
      </c>
      <c r="P67" s="3">
        <v>10</v>
      </c>
      <c r="Q67" s="3">
        <v>56</v>
      </c>
    </row>
    <row r="68" spans="2:17" ht="30" customHeight="1" x14ac:dyDescent="0.25">
      <c r="B68" s="1">
        <v>61</v>
      </c>
      <c r="C68" s="1" t="s">
        <v>227</v>
      </c>
      <c r="D68" s="1" t="s">
        <v>43</v>
      </c>
      <c r="E68" s="1">
        <v>50</v>
      </c>
      <c r="F68" s="1">
        <v>150</v>
      </c>
      <c r="H68" s="3">
        <v>61</v>
      </c>
      <c r="I68" s="3">
        <v>4</v>
      </c>
      <c r="K68" s="1" t="s">
        <v>158</v>
      </c>
      <c r="L68" s="3">
        <v>10</v>
      </c>
      <c r="M68" s="3">
        <v>48</v>
      </c>
      <c r="O68" s="1" t="s">
        <v>147</v>
      </c>
      <c r="P68" s="3">
        <v>10</v>
      </c>
      <c r="Q68" s="3">
        <v>57</v>
      </c>
    </row>
    <row r="69" spans="2:17" ht="30" customHeight="1" x14ac:dyDescent="0.25">
      <c r="B69" s="1">
        <v>62</v>
      </c>
      <c r="C69" s="1" t="s">
        <v>228</v>
      </c>
      <c r="D69" s="1" t="s">
        <v>43</v>
      </c>
      <c r="E69" s="1">
        <v>50</v>
      </c>
      <c r="F69" s="1">
        <v>150</v>
      </c>
      <c r="H69" s="3">
        <v>62</v>
      </c>
      <c r="I69" s="3">
        <v>4</v>
      </c>
      <c r="K69" s="1" t="s">
        <v>131</v>
      </c>
      <c r="L69" s="3">
        <v>1</v>
      </c>
      <c r="M69" s="3">
        <v>49</v>
      </c>
      <c r="O69" s="1" t="s">
        <v>148</v>
      </c>
      <c r="P69" s="3">
        <v>10</v>
      </c>
      <c r="Q69" s="3">
        <v>58</v>
      </c>
    </row>
    <row r="70" spans="2:17" ht="30" customHeight="1" x14ac:dyDescent="0.25">
      <c r="B70" s="1">
        <v>63</v>
      </c>
      <c r="C70" s="1" t="s">
        <v>229</v>
      </c>
      <c r="D70" s="1" t="s">
        <v>43</v>
      </c>
      <c r="E70" s="1">
        <v>50</v>
      </c>
      <c r="F70" s="1">
        <v>250</v>
      </c>
      <c r="H70" s="3">
        <v>63</v>
      </c>
      <c r="I70" s="3">
        <v>2</v>
      </c>
      <c r="K70" s="1" t="s">
        <v>159</v>
      </c>
      <c r="L70" s="3">
        <v>1</v>
      </c>
      <c r="M70" s="3">
        <v>49</v>
      </c>
      <c r="O70" s="1" t="s">
        <v>149</v>
      </c>
      <c r="P70" s="3">
        <v>10</v>
      </c>
      <c r="Q70" s="3">
        <v>59</v>
      </c>
    </row>
    <row r="71" spans="2:17" ht="30" customHeight="1" x14ac:dyDescent="0.25">
      <c r="B71" s="1">
        <v>64</v>
      </c>
      <c r="C71" s="1" t="s">
        <v>230</v>
      </c>
      <c r="D71" s="1" t="s">
        <v>43</v>
      </c>
      <c r="E71" s="1">
        <v>50</v>
      </c>
      <c r="F71" s="1">
        <v>250</v>
      </c>
      <c r="H71" s="3">
        <v>64</v>
      </c>
      <c r="I71" s="3">
        <v>2</v>
      </c>
      <c r="K71" s="1" t="s">
        <v>160</v>
      </c>
      <c r="L71" s="3">
        <v>2</v>
      </c>
      <c r="M71" s="3">
        <v>49</v>
      </c>
      <c r="O71" s="1" t="s">
        <v>150</v>
      </c>
      <c r="P71" s="3">
        <v>10</v>
      </c>
      <c r="Q71" s="3">
        <v>60</v>
      </c>
    </row>
    <row r="72" spans="2:17" ht="30" customHeight="1" x14ac:dyDescent="0.25">
      <c r="B72" s="1">
        <v>65</v>
      </c>
      <c r="C72" s="1" t="s">
        <v>231</v>
      </c>
      <c r="D72" s="1" t="s">
        <v>43</v>
      </c>
      <c r="E72" s="1">
        <v>50</v>
      </c>
      <c r="F72" s="1">
        <v>250</v>
      </c>
      <c r="H72" s="3">
        <v>65</v>
      </c>
      <c r="I72" s="3">
        <v>2</v>
      </c>
      <c r="K72" s="1" t="s">
        <v>99</v>
      </c>
      <c r="L72" s="3">
        <v>1</v>
      </c>
      <c r="M72" s="3">
        <v>49</v>
      </c>
      <c r="O72" s="1" t="s">
        <v>151</v>
      </c>
      <c r="P72" s="3">
        <v>10</v>
      </c>
      <c r="Q72" s="3">
        <v>61</v>
      </c>
    </row>
    <row r="73" spans="2:17" ht="30" customHeight="1" x14ac:dyDescent="0.25">
      <c r="B73" s="1">
        <v>66</v>
      </c>
      <c r="C73" s="1" t="s">
        <v>233</v>
      </c>
      <c r="D73" s="1" t="s">
        <v>43</v>
      </c>
      <c r="E73" s="1">
        <v>50</v>
      </c>
      <c r="F73" s="1">
        <v>250</v>
      </c>
      <c r="H73" s="3">
        <v>66</v>
      </c>
      <c r="I73" s="3">
        <v>2</v>
      </c>
      <c r="K73" s="1" t="s">
        <v>131</v>
      </c>
      <c r="L73" s="3">
        <v>1</v>
      </c>
      <c r="M73" s="3">
        <v>50</v>
      </c>
      <c r="O73" s="1" t="s">
        <v>152</v>
      </c>
      <c r="P73" s="3">
        <v>10</v>
      </c>
      <c r="Q73" s="3">
        <v>62</v>
      </c>
    </row>
    <row r="74" spans="2:17" ht="30" customHeight="1" x14ac:dyDescent="0.25">
      <c r="B74" s="1">
        <v>67</v>
      </c>
      <c r="C74" s="1" t="s">
        <v>232</v>
      </c>
      <c r="D74" s="1" t="s">
        <v>43</v>
      </c>
      <c r="E74" s="1">
        <v>50</v>
      </c>
      <c r="F74" s="1">
        <v>250</v>
      </c>
      <c r="H74" s="3">
        <v>67</v>
      </c>
      <c r="I74" s="3">
        <v>7</v>
      </c>
      <c r="K74" s="1" t="s">
        <v>159</v>
      </c>
      <c r="L74" s="3">
        <v>5</v>
      </c>
      <c r="M74" s="3">
        <v>50</v>
      </c>
      <c r="O74" s="1" t="s">
        <v>154</v>
      </c>
      <c r="P74" s="3">
        <v>1</v>
      </c>
      <c r="Q74" s="3">
        <v>63</v>
      </c>
    </row>
    <row r="75" spans="2:17" ht="30" customHeight="1" x14ac:dyDescent="0.25">
      <c r="B75" s="1">
        <v>68</v>
      </c>
      <c r="C75" s="1" t="s">
        <v>234</v>
      </c>
      <c r="D75" s="1" t="s">
        <v>43</v>
      </c>
      <c r="E75" s="1">
        <v>50</v>
      </c>
      <c r="F75" s="1">
        <v>200</v>
      </c>
      <c r="H75" s="3">
        <v>68</v>
      </c>
      <c r="I75" s="3">
        <v>8</v>
      </c>
      <c r="K75" s="1" t="s">
        <v>160</v>
      </c>
      <c r="L75" s="3">
        <v>5</v>
      </c>
      <c r="M75" s="3">
        <v>50</v>
      </c>
      <c r="O75" s="1" t="s">
        <v>155</v>
      </c>
      <c r="P75" s="3">
        <v>1</v>
      </c>
      <c r="Q75" s="3">
        <v>64</v>
      </c>
    </row>
    <row r="76" spans="2:17" ht="30" customHeight="1" x14ac:dyDescent="0.25">
      <c r="B76" s="1">
        <v>69</v>
      </c>
      <c r="C76" s="1" t="s">
        <v>235</v>
      </c>
      <c r="D76" s="1" t="s">
        <v>43</v>
      </c>
      <c r="E76" s="1">
        <v>50</v>
      </c>
      <c r="F76" s="1">
        <v>600</v>
      </c>
      <c r="H76" s="3">
        <v>69</v>
      </c>
      <c r="I76" s="3">
        <v>8</v>
      </c>
      <c r="K76" s="1" t="s">
        <v>99</v>
      </c>
      <c r="L76" s="3">
        <v>1</v>
      </c>
      <c r="M76" s="3">
        <v>50</v>
      </c>
      <c r="O76" s="1" t="s">
        <v>156</v>
      </c>
      <c r="P76" s="3">
        <v>1</v>
      </c>
      <c r="Q76" s="3">
        <v>65</v>
      </c>
    </row>
    <row r="77" spans="2:17" ht="30" customHeight="1" x14ac:dyDescent="0.25">
      <c r="B77" s="1">
        <v>70</v>
      </c>
      <c r="C77" s="1" t="s">
        <v>236</v>
      </c>
      <c r="D77" s="1" t="s">
        <v>43</v>
      </c>
      <c r="E77" s="1">
        <v>50</v>
      </c>
      <c r="F77" s="1">
        <v>200</v>
      </c>
      <c r="H77" s="3">
        <v>70</v>
      </c>
      <c r="I77" s="3">
        <v>8</v>
      </c>
      <c r="K77" s="1" t="s">
        <v>131</v>
      </c>
      <c r="L77" s="3">
        <v>1</v>
      </c>
      <c r="M77" s="3">
        <v>51</v>
      </c>
      <c r="O77" s="1" t="s">
        <v>153</v>
      </c>
      <c r="P77" s="3">
        <v>1</v>
      </c>
      <c r="Q77" s="3">
        <v>66</v>
      </c>
    </row>
    <row r="78" spans="2:17" ht="30" customHeight="1" x14ac:dyDescent="0.25">
      <c r="B78" s="1">
        <v>71</v>
      </c>
      <c r="C78" s="1" t="s">
        <v>237</v>
      </c>
      <c r="D78" s="1" t="s">
        <v>43</v>
      </c>
      <c r="E78" s="1">
        <v>50</v>
      </c>
      <c r="F78" s="1">
        <v>400</v>
      </c>
      <c r="H78" s="3">
        <v>71</v>
      </c>
      <c r="I78" s="3">
        <v>7</v>
      </c>
      <c r="K78" s="1" t="s">
        <v>164</v>
      </c>
      <c r="L78" s="3">
        <v>2</v>
      </c>
      <c r="M78" s="3">
        <v>51</v>
      </c>
      <c r="O78" s="1" t="s">
        <v>193</v>
      </c>
      <c r="P78" s="3">
        <v>1</v>
      </c>
      <c r="Q78" s="3">
        <v>67</v>
      </c>
    </row>
    <row r="79" spans="2:17" ht="30" customHeight="1" x14ac:dyDescent="0.25">
      <c r="B79" s="1">
        <v>72</v>
      </c>
      <c r="C79" s="1" t="s">
        <v>238</v>
      </c>
      <c r="D79" s="1" t="s">
        <v>43</v>
      </c>
      <c r="E79" s="1">
        <v>50</v>
      </c>
      <c r="F79" s="1">
        <v>200</v>
      </c>
      <c r="H79" s="3">
        <v>72</v>
      </c>
      <c r="I79" s="3">
        <v>7</v>
      </c>
      <c r="K79" s="1" t="s">
        <v>183</v>
      </c>
      <c r="L79" s="3">
        <v>3</v>
      </c>
      <c r="M79" s="3">
        <v>51</v>
      </c>
      <c r="O79" s="1" t="s">
        <v>194</v>
      </c>
      <c r="P79" s="3">
        <v>1</v>
      </c>
      <c r="Q79" s="3">
        <v>68</v>
      </c>
    </row>
    <row r="80" spans="2:17" ht="30" customHeight="1" x14ac:dyDescent="0.25">
      <c r="H80" s="3">
        <v>73</v>
      </c>
      <c r="I80" s="3">
        <v>8</v>
      </c>
      <c r="K80" s="1" t="s">
        <v>161</v>
      </c>
      <c r="L80" s="3">
        <v>3</v>
      </c>
      <c r="M80" s="3">
        <v>51</v>
      </c>
      <c r="O80" s="1" t="s">
        <v>186</v>
      </c>
      <c r="P80" s="3">
        <v>1</v>
      </c>
      <c r="Q80" s="3">
        <v>69</v>
      </c>
    </row>
    <row r="81" spans="8:17" ht="30" customHeight="1" x14ac:dyDescent="0.25">
      <c r="H81" s="3">
        <v>74</v>
      </c>
      <c r="I81" s="3">
        <v>8</v>
      </c>
      <c r="K81" s="1" t="s">
        <v>99</v>
      </c>
      <c r="L81" s="3">
        <v>1</v>
      </c>
      <c r="M81" s="3">
        <v>51</v>
      </c>
      <c r="O81" s="1" t="s">
        <v>186</v>
      </c>
      <c r="P81" s="3">
        <v>1</v>
      </c>
      <c r="Q81" s="3">
        <v>70</v>
      </c>
    </row>
    <row r="82" spans="8:17" ht="30" customHeight="1" x14ac:dyDescent="0.25">
      <c r="H82" s="3">
        <v>75</v>
      </c>
      <c r="I82" s="3">
        <v>3</v>
      </c>
      <c r="K82" s="1" t="s">
        <v>131</v>
      </c>
      <c r="L82" s="3">
        <v>1</v>
      </c>
      <c r="M82" s="3">
        <v>52</v>
      </c>
      <c r="O82" s="1" t="s">
        <v>187</v>
      </c>
      <c r="P82" s="3">
        <v>1</v>
      </c>
      <c r="Q82" s="3">
        <v>71</v>
      </c>
    </row>
    <row r="83" spans="8:17" ht="30" customHeight="1" x14ac:dyDescent="0.25">
      <c r="H83" s="3">
        <v>76</v>
      </c>
      <c r="I83" s="3">
        <v>3</v>
      </c>
      <c r="K83" s="1" t="s">
        <v>161</v>
      </c>
      <c r="L83" s="3">
        <v>5</v>
      </c>
      <c r="M83" s="3">
        <v>52</v>
      </c>
      <c r="O83" s="1" t="s">
        <v>187</v>
      </c>
      <c r="P83" s="3">
        <v>1</v>
      </c>
      <c r="Q83" s="3">
        <v>72</v>
      </c>
    </row>
    <row r="84" spans="8:17" ht="30" customHeight="1" x14ac:dyDescent="0.25">
      <c r="H84" s="3">
        <v>77</v>
      </c>
      <c r="I84" s="3">
        <v>5</v>
      </c>
      <c r="K84" s="1" t="s">
        <v>160</v>
      </c>
      <c r="L84" s="3">
        <v>5</v>
      </c>
      <c r="M84" s="3">
        <v>52</v>
      </c>
      <c r="O84" s="1" t="s">
        <v>188</v>
      </c>
      <c r="P84" s="3">
        <v>1</v>
      </c>
      <c r="Q84" s="3">
        <v>73</v>
      </c>
    </row>
    <row r="85" spans="8:17" ht="30" customHeight="1" x14ac:dyDescent="0.25">
      <c r="H85" s="3">
        <v>78</v>
      </c>
      <c r="I85" s="3">
        <v>5</v>
      </c>
      <c r="K85" s="1" t="s">
        <v>99</v>
      </c>
      <c r="L85" s="3">
        <v>1</v>
      </c>
      <c r="M85" s="3">
        <v>52</v>
      </c>
      <c r="O85" s="1" t="s">
        <v>188</v>
      </c>
      <c r="P85" s="3">
        <v>1</v>
      </c>
      <c r="Q85" s="3">
        <v>74</v>
      </c>
    </row>
    <row r="86" spans="8:17" ht="30" customHeight="1" x14ac:dyDescent="0.25">
      <c r="H86" s="3">
        <v>79</v>
      </c>
      <c r="I86" s="3">
        <v>5</v>
      </c>
      <c r="K86" s="1" t="s">
        <v>131</v>
      </c>
      <c r="L86" s="3">
        <v>1</v>
      </c>
      <c r="M86" s="3">
        <v>53</v>
      </c>
      <c r="O86" s="1" t="s">
        <v>190</v>
      </c>
      <c r="P86" s="3">
        <v>1</v>
      </c>
      <c r="Q86" s="3">
        <v>75</v>
      </c>
    </row>
    <row r="87" spans="8:17" ht="30" customHeight="1" x14ac:dyDescent="0.25">
      <c r="H87" s="3">
        <v>80</v>
      </c>
      <c r="I87" s="3">
        <v>5</v>
      </c>
      <c r="K87" s="1" t="s">
        <v>114</v>
      </c>
      <c r="L87" s="3">
        <v>5</v>
      </c>
      <c r="M87" s="3">
        <v>53</v>
      </c>
      <c r="O87" s="1" t="s">
        <v>190</v>
      </c>
      <c r="P87" s="3">
        <v>1</v>
      </c>
      <c r="Q87" s="3">
        <v>76</v>
      </c>
    </row>
    <row r="88" spans="8:17" ht="30" customHeight="1" x14ac:dyDescent="0.25">
      <c r="H88" s="3">
        <v>81</v>
      </c>
      <c r="I88" s="3">
        <v>3</v>
      </c>
      <c r="K88" s="1" t="s">
        <v>166</v>
      </c>
      <c r="L88" s="3">
        <v>5</v>
      </c>
      <c r="M88" s="3">
        <v>53</v>
      </c>
      <c r="O88" s="1" t="s">
        <v>184</v>
      </c>
      <c r="P88" s="3">
        <v>1</v>
      </c>
      <c r="Q88" s="3">
        <v>77</v>
      </c>
    </row>
    <row r="89" spans="8:17" ht="30" customHeight="1" x14ac:dyDescent="0.25">
      <c r="H89" s="3">
        <v>82</v>
      </c>
      <c r="I89" s="3">
        <v>2</v>
      </c>
      <c r="K89" s="1" t="s">
        <v>99</v>
      </c>
      <c r="L89" s="3">
        <v>1</v>
      </c>
      <c r="M89" s="3">
        <v>53</v>
      </c>
      <c r="O89" s="1" t="s">
        <v>185</v>
      </c>
      <c r="P89" s="3">
        <v>1</v>
      </c>
      <c r="Q89" s="3">
        <v>78</v>
      </c>
    </row>
    <row r="90" spans="8:17" ht="30" customHeight="1" x14ac:dyDescent="0.25">
      <c r="H90" s="3">
        <v>83</v>
      </c>
      <c r="I90" s="3">
        <v>1</v>
      </c>
      <c r="K90" s="1" t="s">
        <v>131</v>
      </c>
      <c r="L90" s="3">
        <v>1</v>
      </c>
      <c r="M90" s="3">
        <v>54</v>
      </c>
      <c r="O90" s="1" t="s">
        <v>189</v>
      </c>
      <c r="P90" s="3">
        <v>1</v>
      </c>
      <c r="Q90" s="3">
        <v>79</v>
      </c>
    </row>
    <row r="91" spans="8:17" ht="30" customHeight="1" x14ac:dyDescent="0.25">
      <c r="H91" s="3">
        <v>84</v>
      </c>
      <c r="I91" s="3">
        <v>2</v>
      </c>
      <c r="K91" s="1" t="s">
        <v>166</v>
      </c>
      <c r="L91" s="3">
        <v>5</v>
      </c>
      <c r="M91" s="3">
        <v>54</v>
      </c>
      <c r="O91" s="1" t="s">
        <v>191</v>
      </c>
      <c r="P91" s="3">
        <v>1</v>
      </c>
      <c r="Q91" s="3">
        <v>80</v>
      </c>
    </row>
    <row r="92" spans="8:17" ht="30" customHeight="1" x14ac:dyDescent="0.25">
      <c r="H92" s="3">
        <v>85</v>
      </c>
      <c r="I92" s="3">
        <v>3</v>
      </c>
      <c r="K92" s="1" t="s">
        <v>99</v>
      </c>
      <c r="L92" s="3">
        <v>1</v>
      </c>
      <c r="M92" s="3">
        <v>54</v>
      </c>
      <c r="O92" s="1" t="s">
        <v>192</v>
      </c>
      <c r="P92" s="3">
        <v>1</v>
      </c>
      <c r="Q92" s="3">
        <v>81</v>
      </c>
    </row>
    <row r="93" spans="8:17" ht="30" customHeight="1" x14ac:dyDescent="0.25">
      <c r="H93" s="3">
        <v>86</v>
      </c>
      <c r="I93" s="3">
        <v>5</v>
      </c>
      <c r="K93" s="1" t="s">
        <v>135</v>
      </c>
      <c r="L93" s="3">
        <v>10</v>
      </c>
      <c r="M93" s="3">
        <v>55</v>
      </c>
      <c r="O93" s="1" t="s">
        <v>208</v>
      </c>
      <c r="P93" s="3">
        <v>1</v>
      </c>
      <c r="Q93" s="3">
        <v>82</v>
      </c>
    </row>
    <row r="94" spans="8:17" ht="30" customHeight="1" x14ac:dyDescent="0.25">
      <c r="H94" s="3">
        <v>87</v>
      </c>
      <c r="I94" s="3">
        <v>5</v>
      </c>
      <c r="K94" s="1" t="s">
        <v>141</v>
      </c>
      <c r="L94" s="3">
        <v>1</v>
      </c>
      <c r="M94" s="3">
        <v>55</v>
      </c>
      <c r="O94" s="1" t="s">
        <v>210</v>
      </c>
      <c r="P94" s="3">
        <v>1</v>
      </c>
      <c r="Q94" s="3">
        <v>83</v>
      </c>
    </row>
    <row r="95" spans="8:17" ht="30" customHeight="1" x14ac:dyDescent="0.25">
      <c r="H95" s="3">
        <v>88</v>
      </c>
      <c r="I95" s="3">
        <v>3</v>
      </c>
      <c r="K95" s="1" t="s">
        <v>167</v>
      </c>
      <c r="L95" s="3">
        <v>10</v>
      </c>
      <c r="M95" s="3">
        <v>56</v>
      </c>
      <c r="O95" s="1" t="s">
        <v>211</v>
      </c>
      <c r="P95" s="3">
        <v>1</v>
      </c>
      <c r="Q95" s="3">
        <v>84</v>
      </c>
    </row>
    <row r="96" spans="8:17" ht="30" customHeight="1" x14ac:dyDescent="0.25">
      <c r="H96" s="8">
        <v>89</v>
      </c>
      <c r="I96" s="8">
        <v>5</v>
      </c>
      <c r="K96" s="1" t="s">
        <v>141</v>
      </c>
      <c r="L96" s="3">
        <v>1</v>
      </c>
      <c r="M96" s="3">
        <v>56</v>
      </c>
      <c r="O96" s="1" t="s">
        <v>213</v>
      </c>
      <c r="P96" s="3">
        <v>1</v>
      </c>
      <c r="Q96" s="3">
        <v>85</v>
      </c>
    </row>
    <row r="97" spans="8:17" ht="30" customHeight="1" x14ac:dyDescent="0.25">
      <c r="H97" s="8">
        <v>90</v>
      </c>
      <c r="I97" s="8">
        <v>2</v>
      </c>
      <c r="K97" s="1" t="s">
        <v>168</v>
      </c>
      <c r="L97" s="3">
        <v>10</v>
      </c>
      <c r="M97" s="3">
        <v>57</v>
      </c>
      <c r="O97" s="1" t="s">
        <v>215</v>
      </c>
      <c r="P97" s="3">
        <v>1</v>
      </c>
      <c r="Q97" s="3">
        <v>87</v>
      </c>
    </row>
    <row r="98" spans="8:17" ht="30" customHeight="1" x14ac:dyDescent="0.25">
      <c r="H98" s="8">
        <v>91</v>
      </c>
      <c r="I98" s="8">
        <v>3</v>
      </c>
      <c r="K98" s="1" t="s">
        <v>141</v>
      </c>
      <c r="L98" s="3">
        <v>1</v>
      </c>
      <c r="M98" s="3">
        <v>57</v>
      </c>
      <c r="O98" s="1" t="s">
        <v>216</v>
      </c>
      <c r="P98" s="3">
        <v>1</v>
      </c>
      <c r="Q98" s="3">
        <v>88</v>
      </c>
    </row>
    <row r="99" spans="8:17" ht="30" customHeight="1" x14ac:dyDescent="0.25">
      <c r="H99" s="8">
        <v>92</v>
      </c>
      <c r="I99" s="8">
        <v>8</v>
      </c>
      <c r="K99" s="1" t="s">
        <v>169</v>
      </c>
      <c r="L99" s="3">
        <v>10</v>
      </c>
      <c r="M99" s="3">
        <v>58</v>
      </c>
      <c r="O99" s="9" t="s">
        <v>214</v>
      </c>
      <c r="P99" s="8">
        <v>2</v>
      </c>
      <c r="Q99" s="8">
        <v>89</v>
      </c>
    </row>
    <row r="100" spans="8:17" ht="30" customHeight="1" x14ac:dyDescent="0.25">
      <c r="H100" s="8">
        <v>93</v>
      </c>
      <c r="I100" s="8">
        <v>2</v>
      </c>
      <c r="K100" s="1" t="s">
        <v>141</v>
      </c>
      <c r="L100" s="3">
        <v>1</v>
      </c>
      <c r="M100" s="3">
        <v>58</v>
      </c>
      <c r="O100" s="9" t="s">
        <v>170</v>
      </c>
      <c r="P100" s="8">
        <v>10</v>
      </c>
      <c r="Q100" s="8">
        <v>90</v>
      </c>
    </row>
    <row r="101" spans="8:17" ht="30" customHeight="1" x14ac:dyDescent="0.25">
      <c r="H101" s="8">
        <v>94</v>
      </c>
      <c r="I101" s="8">
        <v>5</v>
      </c>
      <c r="K101" s="1" t="s">
        <v>170</v>
      </c>
      <c r="L101" s="3">
        <v>10</v>
      </c>
      <c r="M101" s="3">
        <v>59</v>
      </c>
      <c r="O101" s="9" t="s">
        <v>217</v>
      </c>
      <c r="P101" s="8">
        <v>1</v>
      </c>
      <c r="Q101" s="8">
        <v>91</v>
      </c>
    </row>
    <row r="102" spans="8:17" ht="30" customHeight="1" x14ac:dyDescent="0.25">
      <c r="H102" s="8">
        <v>95</v>
      </c>
      <c r="I102" s="8">
        <v>8</v>
      </c>
      <c r="K102" s="1" t="s">
        <v>141</v>
      </c>
      <c r="L102" s="3">
        <v>1</v>
      </c>
      <c r="M102" s="3">
        <v>59</v>
      </c>
      <c r="O102" s="9" t="s">
        <v>133</v>
      </c>
      <c r="P102" s="8">
        <v>1</v>
      </c>
      <c r="Q102" s="8">
        <v>92</v>
      </c>
    </row>
    <row r="103" spans="8:17" ht="30" customHeight="1" x14ac:dyDescent="0.25">
      <c r="H103" s="8">
        <v>96</v>
      </c>
      <c r="I103" s="8">
        <v>4</v>
      </c>
      <c r="K103" s="1" t="s">
        <v>171</v>
      </c>
      <c r="L103" s="3">
        <v>10</v>
      </c>
      <c r="M103" s="3">
        <v>60</v>
      </c>
      <c r="O103" s="9" t="s">
        <v>218</v>
      </c>
      <c r="P103" s="8">
        <v>5</v>
      </c>
      <c r="Q103" s="8">
        <v>93</v>
      </c>
    </row>
    <row r="104" spans="8:17" ht="30" customHeight="1" x14ac:dyDescent="0.25">
      <c r="H104" s="8">
        <v>97</v>
      </c>
      <c r="I104" s="8">
        <v>8</v>
      </c>
      <c r="K104" s="1" t="s">
        <v>141</v>
      </c>
      <c r="L104" s="3">
        <v>1</v>
      </c>
      <c r="M104" s="3">
        <v>60</v>
      </c>
      <c r="O104" s="9" t="s">
        <v>219</v>
      </c>
      <c r="P104" s="8">
        <v>1</v>
      </c>
      <c r="Q104" s="8">
        <v>94</v>
      </c>
    </row>
    <row r="105" spans="8:17" ht="30" customHeight="1" x14ac:dyDescent="0.25">
      <c r="H105" s="8">
        <v>98</v>
      </c>
      <c r="I105" s="8">
        <v>7</v>
      </c>
      <c r="K105" s="1" t="s">
        <v>172</v>
      </c>
      <c r="L105" s="3">
        <v>10</v>
      </c>
      <c r="M105" s="3">
        <v>61</v>
      </c>
      <c r="O105" s="9" t="s">
        <v>220</v>
      </c>
      <c r="P105" s="8">
        <v>1</v>
      </c>
      <c r="Q105" s="8">
        <v>95</v>
      </c>
    </row>
    <row r="106" spans="8:17" ht="30" customHeight="1" x14ac:dyDescent="0.25">
      <c r="H106" s="8">
        <v>99</v>
      </c>
      <c r="I106" s="8">
        <v>7</v>
      </c>
      <c r="K106" s="1" t="s">
        <v>141</v>
      </c>
      <c r="L106" s="3">
        <v>1</v>
      </c>
      <c r="M106" s="3">
        <v>61</v>
      </c>
      <c r="O106" s="9" t="s">
        <v>221</v>
      </c>
      <c r="P106" s="8">
        <v>1</v>
      </c>
      <c r="Q106" s="8">
        <v>96</v>
      </c>
    </row>
    <row r="107" spans="8:17" ht="30" customHeight="1" x14ac:dyDescent="0.25">
      <c r="H107" s="8">
        <v>100</v>
      </c>
      <c r="I107" s="8">
        <v>10</v>
      </c>
      <c r="K107" s="1" t="s">
        <v>173</v>
      </c>
      <c r="L107" s="3">
        <v>10</v>
      </c>
      <c r="M107" s="3">
        <v>62</v>
      </c>
      <c r="O107" s="9" t="s">
        <v>222</v>
      </c>
      <c r="P107" s="8">
        <v>1</v>
      </c>
      <c r="Q107" s="8">
        <v>97</v>
      </c>
    </row>
    <row r="108" spans="8:17" ht="30" customHeight="1" x14ac:dyDescent="0.25">
      <c r="H108" s="8">
        <v>101</v>
      </c>
      <c r="I108" s="8">
        <v>3</v>
      </c>
      <c r="K108" s="1" t="s">
        <v>141</v>
      </c>
      <c r="L108" s="3">
        <v>1</v>
      </c>
      <c r="M108" s="3">
        <v>62</v>
      </c>
      <c r="O108" s="9" t="s">
        <v>223</v>
      </c>
      <c r="P108" s="8">
        <v>1</v>
      </c>
      <c r="Q108" s="8">
        <v>98</v>
      </c>
    </row>
    <row r="109" spans="8:17" ht="30" customHeight="1" x14ac:dyDescent="0.25">
      <c r="H109" s="8">
        <v>102</v>
      </c>
      <c r="I109" s="8">
        <v>3</v>
      </c>
      <c r="K109" s="1" t="s">
        <v>175</v>
      </c>
      <c r="L109" s="3">
        <v>10</v>
      </c>
      <c r="M109" s="3">
        <v>63</v>
      </c>
      <c r="O109" s="9" t="s">
        <v>224</v>
      </c>
      <c r="P109" s="8">
        <v>1</v>
      </c>
      <c r="Q109" s="8">
        <v>99</v>
      </c>
    </row>
    <row r="110" spans="8:17" ht="30" customHeight="1" x14ac:dyDescent="0.25">
      <c r="H110" s="8">
        <v>103</v>
      </c>
      <c r="I110" s="8">
        <v>3</v>
      </c>
      <c r="K110" s="1" t="s">
        <v>176</v>
      </c>
      <c r="L110" s="3">
        <v>1</v>
      </c>
      <c r="M110" s="3">
        <v>63</v>
      </c>
      <c r="O110" s="9" t="s">
        <v>225</v>
      </c>
      <c r="P110" s="8">
        <v>1</v>
      </c>
      <c r="Q110" s="8">
        <v>100</v>
      </c>
    </row>
    <row r="111" spans="8:17" ht="30" customHeight="1" x14ac:dyDescent="0.25">
      <c r="H111" s="8">
        <v>104</v>
      </c>
      <c r="I111" s="8">
        <v>4</v>
      </c>
      <c r="K111" s="1" t="s">
        <v>177</v>
      </c>
      <c r="L111" s="3">
        <v>50</v>
      </c>
      <c r="M111" s="3">
        <v>64</v>
      </c>
      <c r="O111" s="9" t="s">
        <v>226</v>
      </c>
      <c r="P111" s="8">
        <v>1</v>
      </c>
      <c r="Q111" s="8">
        <v>101</v>
      </c>
    </row>
    <row r="112" spans="8:17" ht="30" customHeight="1" x14ac:dyDescent="0.25">
      <c r="H112" s="8">
        <v>105</v>
      </c>
      <c r="I112" s="8">
        <v>3</v>
      </c>
      <c r="K112" s="1" t="s">
        <v>176</v>
      </c>
      <c r="L112" s="3">
        <v>1</v>
      </c>
      <c r="M112" s="3">
        <v>64</v>
      </c>
      <c r="O112" s="9" t="s">
        <v>167</v>
      </c>
      <c r="P112" s="8">
        <v>10</v>
      </c>
      <c r="Q112" s="8">
        <v>102</v>
      </c>
    </row>
    <row r="113" spans="8:17" ht="30" customHeight="1" x14ac:dyDescent="0.25">
      <c r="H113" s="8">
        <v>106</v>
      </c>
      <c r="I113" s="8">
        <v>4</v>
      </c>
      <c r="K113" s="1" t="s">
        <v>124</v>
      </c>
      <c r="L113" s="3">
        <v>10</v>
      </c>
      <c r="M113" s="3">
        <v>65</v>
      </c>
      <c r="O113" s="9" t="s">
        <v>171</v>
      </c>
      <c r="P113" s="8">
        <v>10</v>
      </c>
      <c r="Q113" s="8">
        <v>103</v>
      </c>
    </row>
    <row r="114" spans="8:17" ht="30" customHeight="1" x14ac:dyDescent="0.25">
      <c r="H114" s="8">
        <v>107</v>
      </c>
      <c r="I114" s="8">
        <v>5</v>
      </c>
      <c r="K114" s="1" t="s">
        <v>176</v>
      </c>
      <c r="L114" s="3">
        <v>1</v>
      </c>
      <c r="M114" s="3">
        <v>65</v>
      </c>
      <c r="O114" s="9" t="s">
        <v>227</v>
      </c>
      <c r="P114" s="8">
        <v>1</v>
      </c>
      <c r="Q114" s="8">
        <v>104</v>
      </c>
    </row>
    <row r="115" spans="8:17" ht="30" customHeight="1" x14ac:dyDescent="0.25">
      <c r="H115" s="8">
        <v>108</v>
      </c>
      <c r="I115" s="8">
        <v>5</v>
      </c>
      <c r="K115" s="1" t="s">
        <v>99</v>
      </c>
      <c r="L115" s="3">
        <v>1</v>
      </c>
      <c r="M115" s="3">
        <v>66</v>
      </c>
      <c r="O115" s="9" t="s">
        <v>228</v>
      </c>
      <c r="P115" s="8">
        <v>1</v>
      </c>
      <c r="Q115" s="8">
        <v>105</v>
      </c>
    </row>
    <row r="116" spans="8:17" ht="30" customHeight="1" x14ac:dyDescent="0.25">
      <c r="H116" s="8">
        <v>109</v>
      </c>
      <c r="I116" s="8">
        <v>3</v>
      </c>
      <c r="K116" s="1" t="s">
        <v>28</v>
      </c>
      <c r="L116" s="3">
        <v>10</v>
      </c>
      <c r="M116" s="3">
        <v>66</v>
      </c>
      <c r="O116" s="9" t="s">
        <v>229</v>
      </c>
      <c r="P116" s="8">
        <v>2</v>
      </c>
      <c r="Q116" s="8">
        <v>106</v>
      </c>
    </row>
    <row r="117" spans="8:17" ht="30" customHeight="1" x14ac:dyDescent="0.25">
      <c r="H117" s="8">
        <v>110</v>
      </c>
      <c r="I117" s="8">
        <v>5</v>
      </c>
      <c r="K117" s="1" t="s">
        <v>174</v>
      </c>
      <c r="L117" s="3">
        <v>1</v>
      </c>
      <c r="M117" s="3">
        <v>66</v>
      </c>
      <c r="O117" s="9" t="s">
        <v>230</v>
      </c>
      <c r="P117" s="8">
        <v>1</v>
      </c>
      <c r="Q117" s="8">
        <v>107</v>
      </c>
    </row>
    <row r="118" spans="8:17" ht="30" customHeight="1" x14ac:dyDescent="0.25">
      <c r="H118" s="8">
        <v>111</v>
      </c>
      <c r="I118" s="8">
        <v>5</v>
      </c>
      <c r="K118" s="1" t="s">
        <v>109</v>
      </c>
      <c r="L118" s="3">
        <v>1</v>
      </c>
      <c r="M118" s="3">
        <v>67</v>
      </c>
      <c r="O118" s="9" t="s">
        <v>231</v>
      </c>
      <c r="P118" s="8">
        <v>1</v>
      </c>
      <c r="Q118" s="8">
        <v>108</v>
      </c>
    </row>
    <row r="119" spans="8:17" ht="30" customHeight="1" x14ac:dyDescent="0.25">
      <c r="H119" s="8">
        <v>112</v>
      </c>
      <c r="I119" s="8">
        <v>8</v>
      </c>
      <c r="K119" s="1" t="s">
        <v>99</v>
      </c>
      <c r="L119" s="3">
        <v>1</v>
      </c>
      <c r="M119" s="3">
        <v>67</v>
      </c>
      <c r="O119" s="9" t="s">
        <v>232</v>
      </c>
      <c r="P119" s="8">
        <v>1</v>
      </c>
      <c r="Q119" s="8">
        <v>109</v>
      </c>
    </row>
    <row r="120" spans="8:17" ht="30" customHeight="1" x14ac:dyDescent="0.25">
      <c r="H120" s="8">
        <v>113</v>
      </c>
      <c r="I120" s="8">
        <v>4</v>
      </c>
      <c r="K120" s="1" t="s">
        <v>109</v>
      </c>
      <c r="L120" s="3">
        <v>1</v>
      </c>
      <c r="M120" s="3">
        <v>68</v>
      </c>
      <c r="O120" s="9" t="s">
        <v>233</v>
      </c>
      <c r="P120" s="8">
        <v>1</v>
      </c>
      <c r="Q120" s="8">
        <v>110</v>
      </c>
    </row>
    <row r="121" spans="8:17" ht="30" customHeight="1" x14ac:dyDescent="0.25">
      <c r="H121" s="8">
        <v>114</v>
      </c>
      <c r="I121" s="8">
        <v>5</v>
      </c>
      <c r="K121" s="1" t="s">
        <v>99</v>
      </c>
      <c r="L121" s="3">
        <v>1</v>
      </c>
      <c r="M121" s="3">
        <v>68</v>
      </c>
      <c r="O121" s="9" t="s">
        <v>234</v>
      </c>
      <c r="P121" s="8">
        <v>1</v>
      </c>
      <c r="Q121" s="8">
        <v>111</v>
      </c>
    </row>
    <row r="122" spans="8:17" ht="30" customHeight="1" x14ac:dyDescent="0.25">
      <c r="H122" s="8">
        <v>115</v>
      </c>
      <c r="I122" s="8">
        <v>5</v>
      </c>
      <c r="K122" s="1" t="s">
        <v>175</v>
      </c>
      <c r="L122" s="3">
        <v>1</v>
      </c>
      <c r="M122" s="3">
        <v>68</v>
      </c>
      <c r="O122" s="9" t="s">
        <v>235</v>
      </c>
      <c r="P122" s="8">
        <v>1</v>
      </c>
      <c r="Q122" s="8">
        <v>112</v>
      </c>
    </row>
    <row r="123" spans="8:17" ht="30" customHeight="1" x14ac:dyDescent="0.25">
      <c r="K123" s="1" t="s">
        <v>195</v>
      </c>
      <c r="L123" s="3">
        <v>2</v>
      </c>
      <c r="M123" s="3">
        <v>69</v>
      </c>
      <c r="O123" s="9" t="s">
        <v>236</v>
      </c>
      <c r="P123" s="8">
        <v>1</v>
      </c>
      <c r="Q123" s="8">
        <v>113</v>
      </c>
    </row>
    <row r="124" spans="8:17" ht="30" customHeight="1" x14ac:dyDescent="0.25">
      <c r="K124" s="1" t="s">
        <v>24</v>
      </c>
      <c r="L124" s="3">
        <v>3</v>
      </c>
      <c r="M124" s="3">
        <v>69</v>
      </c>
      <c r="O124" s="9" t="s">
        <v>237</v>
      </c>
      <c r="P124" s="8">
        <v>1</v>
      </c>
      <c r="Q124" s="8">
        <v>114</v>
      </c>
    </row>
    <row r="125" spans="8:17" ht="30" customHeight="1" x14ac:dyDescent="0.25">
      <c r="K125" s="1" t="s">
        <v>126</v>
      </c>
      <c r="L125" s="3">
        <v>1</v>
      </c>
      <c r="M125" s="3">
        <v>69</v>
      </c>
      <c r="O125" s="9" t="s">
        <v>238</v>
      </c>
      <c r="P125" s="8">
        <v>1</v>
      </c>
      <c r="Q125" s="8">
        <v>115</v>
      </c>
    </row>
    <row r="126" spans="8:17" ht="30" customHeight="1" x14ac:dyDescent="0.25">
      <c r="K126" s="1" t="s">
        <v>195</v>
      </c>
      <c r="L126" s="3">
        <v>2</v>
      </c>
      <c r="M126" s="3">
        <v>70</v>
      </c>
    </row>
    <row r="127" spans="8:17" ht="30" customHeight="1" x14ac:dyDescent="0.25">
      <c r="K127" s="1" t="s">
        <v>29</v>
      </c>
      <c r="L127" s="3">
        <v>3</v>
      </c>
      <c r="M127" s="3">
        <v>70</v>
      </c>
    </row>
    <row r="128" spans="8:17" ht="30" customHeight="1" x14ac:dyDescent="0.25">
      <c r="K128" s="1" t="s">
        <v>126</v>
      </c>
      <c r="L128" s="3">
        <v>1</v>
      </c>
      <c r="M128" s="3">
        <v>70</v>
      </c>
    </row>
    <row r="129" spans="11:13" ht="30" customHeight="1" x14ac:dyDescent="0.25">
      <c r="K129" s="1" t="s">
        <v>197</v>
      </c>
      <c r="L129" s="3">
        <v>2</v>
      </c>
      <c r="M129" s="3">
        <v>71</v>
      </c>
    </row>
    <row r="130" spans="11:13" ht="30" customHeight="1" x14ac:dyDescent="0.25">
      <c r="K130" s="1" t="s">
        <v>24</v>
      </c>
      <c r="L130" s="3">
        <v>2</v>
      </c>
      <c r="M130" s="3">
        <v>71</v>
      </c>
    </row>
    <row r="131" spans="11:13" ht="30" customHeight="1" x14ac:dyDescent="0.25">
      <c r="K131" s="1" t="s">
        <v>126</v>
      </c>
      <c r="L131" s="3">
        <v>1</v>
      </c>
      <c r="M131" s="3">
        <v>71</v>
      </c>
    </row>
    <row r="132" spans="11:13" ht="30" customHeight="1" x14ac:dyDescent="0.25">
      <c r="K132" s="1" t="s">
        <v>197</v>
      </c>
      <c r="L132" s="3">
        <v>2</v>
      </c>
      <c r="M132" s="3">
        <v>72</v>
      </c>
    </row>
    <row r="133" spans="11:13" ht="30" customHeight="1" x14ac:dyDescent="0.25">
      <c r="K133" s="1" t="s">
        <v>29</v>
      </c>
      <c r="L133" s="3">
        <v>2</v>
      </c>
      <c r="M133" s="3">
        <v>72</v>
      </c>
    </row>
    <row r="134" spans="11:13" ht="30" customHeight="1" x14ac:dyDescent="0.25">
      <c r="K134" s="1" t="s">
        <v>126</v>
      </c>
      <c r="L134" s="3">
        <v>1</v>
      </c>
      <c r="M134" s="3">
        <v>72</v>
      </c>
    </row>
    <row r="135" spans="11:13" ht="30" customHeight="1" x14ac:dyDescent="0.25">
      <c r="K135" s="1" t="s">
        <v>199</v>
      </c>
      <c r="L135" s="3">
        <v>3</v>
      </c>
      <c r="M135" s="3">
        <v>73</v>
      </c>
    </row>
    <row r="136" spans="11:13" ht="30" customHeight="1" x14ac:dyDescent="0.25">
      <c r="K136" s="1" t="s">
        <v>24</v>
      </c>
      <c r="L136" s="3">
        <v>4</v>
      </c>
      <c r="M136" s="3">
        <v>73</v>
      </c>
    </row>
    <row r="137" spans="11:13" ht="30" customHeight="1" x14ac:dyDescent="0.25">
      <c r="K137" s="1" t="s">
        <v>126</v>
      </c>
      <c r="L137" s="3">
        <v>1</v>
      </c>
      <c r="M137" s="3">
        <v>73</v>
      </c>
    </row>
    <row r="138" spans="11:13" ht="30" customHeight="1" x14ac:dyDescent="0.25">
      <c r="K138" s="1" t="s">
        <v>199</v>
      </c>
      <c r="L138" s="3">
        <v>3</v>
      </c>
      <c r="M138" s="3">
        <v>74</v>
      </c>
    </row>
    <row r="139" spans="11:13" ht="30" customHeight="1" x14ac:dyDescent="0.25">
      <c r="K139" s="1" t="s">
        <v>29</v>
      </c>
      <c r="L139" s="3">
        <v>4</v>
      </c>
      <c r="M139" s="3">
        <v>74</v>
      </c>
    </row>
    <row r="140" spans="11:13" ht="30" customHeight="1" x14ac:dyDescent="0.25">
      <c r="K140" s="1" t="s">
        <v>126</v>
      </c>
      <c r="L140" s="3">
        <v>1</v>
      </c>
      <c r="M140" s="3">
        <v>74</v>
      </c>
    </row>
    <row r="141" spans="11:13" ht="30" customHeight="1" x14ac:dyDescent="0.25">
      <c r="K141" s="1" t="s">
        <v>126</v>
      </c>
      <c r="L141" s="3">
        <v>1</v>
      </c>
      <c r="M141" s="3">
        <v>75</v>
      </c>
    </row>
    <row r="142" spans="11:13" ht="30" customHeight="1" x14ac:dyDescent="0.25">
      <c r="K142" s="1" t="s">
        <v>24</v>
      </c>
      <c r="L142" s="3">
        <v>1</v>
      </c>
      <c r="M142" s="3">
        <v>75</v>
      </c>
    </row>
    <row r="143" spans="11:13" ht="30" customHeight="1" x14ac:dyDescent="0.25">
      <c r="K143" s="1" t="s">
        <v>201</v>
      </c>
      <c r="L143" s="3">
        <v>1</v>
      </c>
      <c r="M143" s="3">
        <v>75</v>
      </c>
    </row>
    <row r="144" spans="11:13" ht="30" customHeight="1" x14ac:dyDescent="0.25">
      <c r="K144" s="1" t="s">
        <v>202</v>
      </c>
      <c r="L144" s="3">
        <v>1</v>
      </c>
      <c r="M144" s="3">
        <v>75</v>
      </c>
    </row>
    <row r="145" spans="11:13" ht="30" customHeight="1" x14ac:dyDescent="0.25">
      <c r="K145" s="1" t="s">
        <v>203</v>
      </c>
      <c r="L145" s="3">
        <v>1</v>
      </c>
      <c r="M145" s="3">
        <v>75</v>
      </c>
    </row>
    <row r="146" spans="11:13" ht="30" customHeight="1" x14ac:dyDescent="0.25">
      <c r="K146" s="1" t="s">
        <v>126</v>
      </c>
      <c r="L146" s="3">
        <v>1</v>
      </c>
      <c r="M146" s="3">
        <v>76</v>
      </c>
    </row>
    <row r="147" spans="11:13" ht="30" customHeight="1" x14ac:dyDescent="0.25">
      <c r="K147" s="1" t="s">
        <v>29</v>
      </c>
      <c r="L147" s="3">
        <v>1</v>
      </c>
      <c r="M147" s="3">
        <v>76</v>
      </c>
    </row>
    <row r="148" spans="11:13" ht="30" customHeight="1" x14ac:dyDescent="0.25">
      <c r="K148" s="1" t="s">
        <v>201</v>
      </c>
      <c r="L148" s="3">
        <v>1</v>
      </c>
      <c r="M148" s="3">
        <v>76</v>
      </c>
    </row>
    <row r="149" spans="11:13" ht="30" customHeight="1" x14ac:dyDescent="0.25">
      <c r="K149" s="1" t="s">
        <v>202</v>
      </c>
      <c r="L149" s="3">
        <v>1</v>
      </c>
      <c r="M149" s="3">
        <v>76</v>
      </c>
    </row>
    <row r="150" spans="11:13" ht="30" customHeight="1" x14ac:dyDescent="0.25">
      <c r="K150" s="1" t="s">
        <v>203</v>
      </c>
      <c r="L150" s="3">
        <v>1</v>
      </c>
      <c r="M150" s="3">
        <v>76</v>
      </c>
    </row>
    <row r="151" spans="11:13" ht="30" customHeight="1" x14ac:dyDescent="0.25">
      <c r="K151" s="1" t="s">
        <v>103</v>
      </c>
      <c r="L151" s="3">
        <v>2</v>
      </c>
      <c r="M151" s="3">
        <v>77</v>
      </c>
    </row>
    <row r="152" spans="11:13" ht="30" customHeight="1" x14ac:dyDescent="0.25">
      <c r="K152" s="1" t="s">
        <v>126</v>
      </c>
      <c r="L152" s="3">
        <v>1</v>
      </c>
      <c r="M152" s="3">
        <v>77</v>
      </c>
    </row>
    <row r="153" spans="11:13" ht="30" customHeight="1" x14ac:dyDescent="0.25">
      <c r="K153" s="1" t="s">
        <v>105</v>
      </c>
      <c r="L153" s="3">
        <v>2</v>
      </c>
      <c r="M153" s="3">
        <v>78</v>
      </c>
    </row>
    <row r="154" spans="11:13" ht="30" customHeight="1" x14ac:dyDescent="0.25">
      <c r="K154" s="1" t="s">
        <v>126</v>
      </c>
      <c r="L154" s="3">
        <v>1</v>
      </c>
      <c r="M154" s="3">
        <v>78</v>
      </c>
    </row>
    <row r="155" spans="11:13" ht="30" customHeight="1" x14ac:dyDescent="0.25">
      <c r="K155" s="1" t="s">
        <v>175</v>
      </c>
      <c r="L155" s="3">
        <v>3</v>
      </c>
      <c r="M155" s="3">
        <v>79</v>
      </c>
    </row>
    <row r="156" spans="11:13" ht="30" customHeight="1" x14ac:dyDescent="0.25">
      <c r="K156" s="1" t="s">
        <v>26</v>
      </c>
      <c r="L156" s="3">
        <v>1</v>
      </c>
      <c r="M156" s="3">
        <v>79</v>
      </c>
    </row>
    <row r="157" spans="11:13" ht="30" customHeight="1" x14ac:dyDescent="0.25">
      <c r="K157" s="1" t="s">
        <v>128</v>
      </c>
      <c r="L157" s="3">
        <v>1</v>
      </c>
      <c r="M157" s="3">
        <v>79</v>
      </c>
    </row>
    <row r="158" spans="11:13" ht="30" customHeight="1" x14ac:dyDescent="0.25">
      <c r="K158" s="1" t="s">
        <v>126</v>
      </c>
      <c r="L158" s="3">
        <v>1</v>
      </c>
      <c r="M158" s="3">
        <v>80</v>
      </c>
    </row>
    <row r="159" spans="11:13" ht="30" customHeight="1" x14ac:dyDescent="0.25">
      <c r="K159" s="1" t="s">
        <v>204</v>
      </c>
      <c r="L159" s="3">
        <v>3</v>
      </c>
      <c r="M159" s="3">
        <v>80</v>
      </c>
    </row>
    <row r="160" spans="11:13" ht="30" customHeight="1" x14ac:dyDescent="0.25">
      <c r="K160" s="1" t="s">
        <v>206</v>
      </c>
      <c r="L160" s="3">
        <v>1</v>
      </c>
      <c r="M160" s="3">
        <v>81</v>
      </c>
    </row>
    <row r="161" spans="11:13" ht="30" customHeight="1" x14ac:dyDescent="0.25">
      <c r="K161" s="1" t="s">
        <v>207</v>
      </c>
      <c r="L161" s="3">
        <v>2</v>
      </c>
      <c r="M161" s="3">
        <v>82</v>
      </c>
    </row>
    <row r="162" spans="11:13" ht="30" customHeight="1" x14ac:dyDescent="0.25">
      <c r="K162" s="1" t="s">
        <v>209</v>
      </c>
      <c r="L162" s="3">
        <v>2</v>
      </c>
      <c r="M162" s="3">
        <v>83</v>
      </c>
    </row>
    <row r="163" spans="11:13" ht="30" customHeight="1" x14ac:dyDescent="0.25">
      <c r="K163" s="1" t="s">
        <v>208</v>
      </c>
      <c r="L163" s="3">
        <v>1</v>
      </c>
      <c r="M163" s="3">
        <v>84</v>
      </c>
    </row>
    <row r="164" spans="11:13" ht="30" customHeight="1" x14ac:dyDescent="0.25">
      <c r="K164" s="1" t="s">
        <v>210</v>
      </c>
      <c r="L164" s="3">
        <v>1</v>
      </c>
      <c r="M164" s="3">
        <v>84</v>
      </c>
    </row>
    <row r="165" spans="11:13" ht="30" customHeight="1" x14ac:dyDescent="0.25">
      <c r="K165" s="1" t="s">
        <v>212</v>
      </c>
      <c r="L165" s="3">
        <v>2</v>
      </c>
      <c r="M165" s="3">
        <v>85</v>
      </c>
    </row>
    <row r="166" spans="11:13" ht="30" customHeight="1" x14ac:dyDescent="0.25">
      <c r="K166" s="1" t="s">
        <v>15</v>
      </c>
      <c r="L166" s="3">
        <v>2</v>
      </c>
      <c r="M166" s="3">
        <v>86</v>
      </c>
    </row>
    <row r="167" spans="11:13" ht="30" customHeight="1" x14ac:dyDescent="0.25">
      <c r="K167" s="1" t="s">
        <v>13</v>
      </c>
      <c r="L167" s="3">
        <v>2</v>
      </c>
      <c r="M167" s="3">
        <v>86</v>
      </c>
    </row>
    <row r="168" spans="11:13" ht="30" customHeight="1" x14ac:dyDescent="0.25">
      <c r="K168" s="1" t="s">
        <v>157</v>
      </c>
      <c r="L168" s="3">
        <v>1</v>
      </c>
      <c r="M168" s="3">
        <v>86</v>
      </c>
    </row>
    <row r="169" spans="11:13" ht="30" customHeight="1" x14ac:dyDescent="0.25">
      <c r="K169" s="1" t="s">
        <v>13</v>
      </c>
      <c r="L169" s="3">
        <v>1</v>
      </c>
      <c r="M169" s="3">
        <v>87</v>
      </c>
    </row>
    <row r="170" spans="11:13" ht="30" customHeight="1" x14ac:dyDescent="0.25">
      <c r="K170" s="1" t="s">
        <v>15</v>
      </c>
      <c r="L170" s="3">
        <v>5</v>
      </c>
      <c r="M170" s="3">
        <v>87</v>
      </c>
    </row>
    <row r="171" spans="11:13" ht="30" customHeight="1" x14ac:dyDescent="0.25">
      <c r="K171" s="1" t="s">
        <v>13</v>
      </c>
      <c r="L171" s="3">
        <v>1</v>
      </c>
      <c r="M171" s="3">
        <v>88</v>
      </c>
    </row>
    <row r="172" spans="11:13" ht="30" customHeight="1" x14ac:dyDescent="0.25">
      <c r="K172" s="9" t="s">
        <v>15</v>
      </c>
      <c r="L172" s="8">
        <v>2</v>
      </c>
      <c r="M172" s="8">
        <v>89</v>
      </c>
    </row>
    <row r="173" spans="11:13" ht="30" customHeight="1" x14ac:dyDescent="0.25">
      <c r="K173" s="9" t="s">
        <v>13</v>
      </c>
      <c r="L173" s="8">
        <v>2</v>
      </c>
      <c r="M173" s="8">
        <v>89</v>
      </c>
    </row>
    <row r="174" spans="11:13" ht="30" customHeight="1" x14ac:dyDescent="0.25">
      <c r="K174" s="9" t="s">
        <v>157</v>
      </c>
      <c r="L174" s="8">
        <v>1</v>
      </c>
      <c r="M174" s="8">
        <v>89</v>
      </c>
    </row>
    <row r="175" spans="11:13" ht="30" customHeight="1" x14ac:dyDescent="0.25">
      <c r="K175" s="9" t="s">
        <v>14</v>
      </c>
      <c r="L175" s="8">
        <v>10</v>
      </c>
      <c r="M175" s="8">
        <v>90</v>
      </c>
    </row>
    <row r="176" spans="11:13" ht="30" customHeight="1" x14ac:dyDescent="0.25">
      <c r="K176" s="9" t="s">
        <v>158</v>
      </c>
      <c r="L176" s="8">
        <v>10</v>
      </c>
      <c r="M176" s="8">
        <v>90</v>
      </c>
    </row>
    <row r="177" spans="11:13" ht="30" customHeight="1" x14ac:dyDescent="0.25">
      <c r="K177" s="9" t="s">
        <v>95</v>
      </c>
      <c r="L177" s="8">
        <v>2</v>
      </c>
      <c r="M177" s="8">
        <v>91</v>
      </c>
    </row>
    <row r="178" spans="11:13" ht="30" customHeight="1" x14ac:dyDescent="0.25">
      <c r="K178" s="9" t="s">
        <v>16</v>
      </c>
      <c r="L178" s="8">
        <v>4</v>
      </c>
      <c r="M178" s="8">
        <v>91</v>
      </c>
    </row>
    <row r="179" spans="11:13" ht="30" customHeight="1" x14ac:dyDescent="0.25">
      <c r="K179" s="9" t="s">
        <v>157</v>
      </c>
      <c r="L179" s="8">
        <v>1</v>
      </c>
      <c r="M179" s="8">
        <v>91</v>
      </c>
    </row>
    <row r="180" spans="11:13" ht="30" customHeight="1" x14ac:dyDescent="0.25">
      <c r="K180" s="9" t="s">
        <v>13</v>
      </c>
      <c r="L180" s="8">
        <v>1</v>
      </c>
      <c r="M180" s="8">
        <v>92</v>
      </c>
    </row>
    <row r="181" spans="11:13" ht="30" customHeight="1" x14ac:dyDescent="0.25">
      <c r="K181" s="9" t="s">
        <v>15</v>
      </c>
      <c r="L181" s="8">
        <v>1</v>
      </c>
      <c r="M181" s="8">
        <v>92</v>
      </c>
    </row>
    <row r="182" spans="11:13" ht="30" customHeight="1" x14ac:dyDescent="0.25">
      <c r="K182" s="9" t="s">
        <v>157</v>
      </c>
      <c r="L182" s="8">
        <v>1</v>
      </c>
      <c r="M182" s="8">
        <v>92</v>
      </c>
    </row>
    <row r="183" spans="11:13" ht="30" customHeight="1" x14ac:dyDescent="0.25">
      <c r="K183" s="9" t="s">
        <v>15</v>
      </c>
      <c r="L183" s="8">
        <v>1</v>
      </c>
      <c r="M183" s="8">
        <v>93</v>
      </c>
    </row>
    <row r="184" spans="11:13" ht="30" customHeight="1" x14ac:dyDescent="0.25">
      <c r="K184" s="9" t="s">
        <v>208</v>
      </c>
      <c r="L184" s="8">
        <v>2</v>
      </c>
      <c r="M184" s="8">
        <v>94</v>
      </c>
    </row>
    <row r="185" spans="11:13" ht="30" customHeight="1" x14ac:dyDescent="0.25">
      <c r="K185" s="9" t="s">
        <v>14</v>
      </c>
      <c r="L185" s="8">
        <v>1</v>
      </c>
      <c r="M185" s="8">
        <v>94</v>
      </c>
    </row>
    <row r="186" spans="11:13" ht="30" customHeight="1" x14ac:dyDescent="0.25">
      <c r="K186" s="9" t="s">
        <v>13</v>
      </c>
      <c r="L186" s="8">
        <v>1</v>
      </c>
      <c r="M186" s="8">
        <v>95</v>
      </c>
    </row>
    <row r="187" spans="11:13" ht="30" customHeight="1" x14ac:dyDescent="0.25">
      <c r="K187" s="9" t="s">
        <v>208</v>
      </c>
      <c r="L187" s="8">
        <v>4</v>
      </c>
      <c r="M187" s="8">
        <v>95</v>
      </c>
    </row>
    <row r="188" spans="11:13" ht="30" customHeight="1" x14ac:dyDescent="0.25">
      <c r="K188" s="9" t="s">
        <v>13</v>
      </c>
      <c r="L188" s="8">
        <v>2</v>
      </c>
      <c r="M188" s="8">
        <v>96</v>
      </c>
    </row>
    <row r="189" spans="11:13" ht="30" customHeight="1" x14ac:dyDescent="0.25">
      <c r="K189" s="9" t="s">
        <v>208</v>
      </c>
      <c r="L189" s="8">
        <v>4</v>
      </c>
      <c r="M189" s="8">
        <v>96</v>
      </c>
    </row>
    <row r="190" spans="11:13" ht="30" customHeight="1" x14ac:dyDescent="0.25">
      <c r="K190" s="9" t="s">
        <v>14</v>
      </c>
      <c r="L190" s="8">
        <v>1</v>
      </c>
      <c r="M190" s="8">
        <v>97</v>
      </c>
    </row>
    <row r="191" spans="11:13" ht="30" customHeight="1" x14ac:dyDescent="0.25">
      <c r="K191" s="9" t="s">
        <v>208</v>
      </c>
      <c r="L191" s="8">
        <v>2</v>
      </c>
      <c r="M191" s="8">
        <v>97</v>
      </c>
    </row>
    <row r="192" spans="11:13" ht="30" customHeight="1" x14ac:dyDescent="0.25">
      <c r="K192" s="9" t="s">
        <v>13</v>
      </c>
      <c r="L192" s="8">
        <v>1</v>
      </c>
      <c r="M192" s="8">
        <v>98</v>
      </c>
    </row>
    <row r="193" spans="11:13" ht="30" customHeight="1" x14ac:dyDescent="0.25">
      <c r="K193" s="9" t="s">
        <v>208</v>
      </c>
      <c r="L193" s="8">
        <v>2</v>
      </c>
      <c r="M193" s="8">
        <v>98</v>
      </c>
    </row>
    <row r="194" spans="11:13" ht="30" customHeight="1" x14ac:dyDescent="0.25">
      <c r="K194" s="9" t="s">
        <v>13</v>
      </c>
      <c r="L194" s="8">
        <v>1</v>
      </c>
      <c r="M194" s="8">
        <v>99</v>
      </c>
    </row>
    <row r="195" spans="11:13" ht="30" customHeight="1" x14ac:dyDescent="0.25">
      <c r="K195" s="9" t="s">
        <v>208</v>
      </c>
      <c r="L195" s="8">
        <v>2</v>
      </c>
      <c r="M195" s="8">
        <v>99</v>
      </c>
    </row>
    <row r="196" spans="11:13" ht="30" customHeight="1" x14ac:dyDescent="0.25">
      <c r="K196" s="9" t="s">
        <v>13</v>
      </c>
      <c r="L196" s="8">
        <v>1</v>
      </c>
      <c r="M196" s="8">
        <v>100</v>
      </c>
    </row>
    <row r="197" spans="11:13" ht="30" customHeight="1" x14ac:dyDescent="0.25">
      <c r="K197" s="9" t="s">
        <v>208</v>
      </c>
      <c r="L197" s="8">
        <v>2</v>
      </c>
      <c r="M197" s="8">
        <v>100</v>
      </c>
    </row>
    <row r="198" spans="11:13" ht="30" customHeight="1" x14ac:dyDescent="0.25">
      <c r="K198" s="9" t="s">
        <v>157</v>
      </c>
      <c r="L198" s="8">
        <v>1</v>
      </c>
      <c r="M198" s="8">
        <v>100</v>
      </c>
    </row>
    <row r="199" spans="11:13" ht="30" customHeight="1" x14ac:dyDescent="0.25">
      <c r="K199" s="9" t="s">
        <v>13</v>
      </c>
      <c r="L199" s="8">
        <v>1</v>
      </c>
      <c r="M199" s="8">
        <v>101</v>
      </c>
    </row>
    <row r="200" spans="11:13" ht="30" customHeight="1" x14ac:dyDescent="0.25">
      <c r="K200" s="9" t="s">
        <v>208</v>
      </c>
      <c r="L200" s="8">
        <v>1</v>
      </c>
      <c r="M200" s="8">
        <v>101</v>
      </c>
    </row>
    <row r="201" spans="11:13" ht="30" customHeight="1" x14ac:dyDescent="0.25">
      <c r="K201" s="9" t="s">
        <v>14</v>
      </c>
      <c r="L201" s="8">
        <v>10</v>
      </c>
      <c r="M201" s="8">
        <v>102</v>
      </c>
    </row>
    <row r="202" spans="11:13" ht="30" customHeight="1" x14ac:dyDescent="0.25">
      <c r="K202" s="9" t="s">
        <v>208</v>
      </c>
      <c r="L202" s="8">
        <v>2</v>
      </c>
      <c r="M202" s="8">
        <v>102</v>
      </c>
    </row>
    <row r="203" spans="11:13" ht="30" customHeight="1" x14ac:dyDescent="0.25">
      <c r="K203" s="9" t="s">
        <v>158</v>
      </c>
      <c r="L203" s="8">
        <v>10</v>
      </c>
      <c r="M203" s="8">
        <v>102</v>
      </c>
    </row>
    <row r="204" spans="11:13" ht="30" customHeight="1" x14ac:dyDescent="0.25">
      <c r="K204" s="9" t="s">
        <v>14</v>
      </c>
      <c r="L204" s="8">
        <v>10</v>
      </c>
      <c r="M204" s="8">
        <v>103</v>
      </c>
    </row>
    <row r="205" spans="11:13" ht="30" customHeight="1" x14ac:dyDescent="0.25">
      <c r="K205" s="9" t="s">
        <v>208</v>
      </c>
      <c r="L205" s="8">
        <v>2</v>
      </c>
      <c r="M205" s="8">
        <v>103</v>
      </c>
    </row>
    <row r="206" spans="11:13" ht="30" customHeight="1" x14ac:dyDescent="0.25">
      <c r="K206" s="9" t="s">
        <v>158</v>
      </c>
      <c r="L206" s="8">
        <v>10</v>
      </c>
      <c r="M206" s="8">
        <v>103</v>
      </c>
    </row>
    <row r="207" spans="11:13" ht="30" customHeight="1" x14ac:dyDescent="0.25">
      <c r="K207" s="9" t="s">
        <v>208</v>
      </c>
      <c r="L207" s="8">
        <v>2</v>
      </c>
      <c r="M207" s="8">
        <v>104</v>
      </c>
    </row>
    <row r="208" spans="11:13" ht="30" customHeight="1" x14ac:dyDescent="0.25">
      <c r="K208" s="9" t="s">
        <v>157</v>
      </c>
      <c r="L208" s="8">
        <v>1</v>
      </c>
      <c r="M208" s="8">
        <v>104</v>
      </c>
    </row>
    <row r="209" spans="11:13" ht="30" customHeight="1" x14ac:dyDescent="0.25">
      <c r="K209" s="9" t="s">
        <v>16</v>
      </c>
      <c r="L209" s="8">
        <v>4</v>
      </c>
      <c r="M209" s="8">
        <v>104</v>
      </c>
    </row>
    <row r="210" spans="11:13" ht="30" customHeight="1" x14ac:dyDescent="0.25">
      <c r="K210" s="9" t="s">
        <v>95</v>
      </c>
      <c r="L210" s="8">
        <v>2</v>
      </c>
      <c r="M210" s="8">
        <v>104</v>
      </c>
    </row>
    <row r="211" spans="11:13" ht="30" customHeight="1" x14ac:dyDescent="0.25">
      <c r="K211" s="9" t="s">
        <v>208</v>
      </c>
      <c r="L211" s="8">
        <v>2</v>
      </c>
      <c r="M211" s="8">
        <v>105</v>
      </c>
    </row>
    <row r="212" spans="11:13" ht="30" customHeight="1" x14ac:dyDescent="0.25">
      <c r="K212" s="9" t="s">
        <v>16</v>
      </c>
      <c r="L212" s="8">
        <v>4</v>
      </c>
      <c r="M212" s="8">
        <v>105</v>
      </c>
    </row>
    <row r="213" spans="11:13" ht="30" customHeight="1" x14ac:dyDescent="0.25">
      <c r="K213" s="9" t="s">
        <v>157</v>
      </c>
      <c r="L213" s="8">
        <v>1</v>
      </c>
      <c r="M213" s="8">
        <v>105</v>
      </c>
    </row>
    <row r="214" spans="11:13" ht="30" customHeight="1" x14ac:dyDescent="0.25">
      <c r="K214" s="9" t="s">
        <v>95</v>
      </c>
      <c r="L214" s="8">
        <v>2</v>
      </c>
      <c r="M214" s="8">
        <v>105</v>
      </c>
    </row>
    <row r="215" spans="11:13" ht="30" customHeight="1" x14ac:dyDescent="0.25">
      <c r="K215" s="9" t="s">
        <v>211</v>
      </c>
      <c r="L215" s="8">
        <v>1</v>
      </c>
      <c r="M215" s="8">
        <v>106</v>
      </c>
    </row>
    <row r="216" spans="11:13" ht="30" customHeight="1" x14ac:dyDescent="0.25">
      <c r="K216" s="9" t="s">
        <v>16</v>
      </c>
      <c r="L216" s="8">
        <v>2</v>
      </c>
      <c r="M216" s="8">
        <v>106</v>
      </c>
    </row>
    <row r="217" spans="11:13" ht="30" customHeight="1" x14ac:dyDescent="0.25">
      <c r="K217" s="9" t="s">
        <v>13</v>
      </c>
      <c r="L217" s="8">
        <v>2</v>
      </c>
      <c r="M217" s="8">
        <v>106</v>
      </c>
    </row>
    <row r="218" spans="11:13" ht="30" customHeight="1" x14ac:dyDescent="0.25">
      <c r="K218" s="9" t="s">
        <v>211</v>
      </c>
      <c r="L218" s="8">
        <v>1</v>
      </c>
      <c r="M218" s="8">
        <v>107</v>
      </c>
    </row>
    <row r="219" spans="11:13" ht="30" customHeight="1" x14ac:dyDescent="0.25">
      <c r="K219" s="9" t="s">
        <v>16</v>
      </c>
      <c r="L219" s="8">
        <v>2</v>
      </c>
      <c r="M219" s="8">
        <v>107</v>
      </c>
    </row>
    <row r="220" spans="11:13" ht="30" customHeight="1" x14ac:dyDescent="0.25">
      <c r="K220" s="9" t="s">
        <v>211</v>
      </c>
      <c r="L220" s="8">
        <v>1</v>
      </c>
      <c r="M220" s="8">
        <v>108</v>
      </c>
    </row>
    <row r="221" spans="11:13" ht="30" customHeight="1" x14ac:dyDescent="0.25">
      <c r="K221" s="9" t="s">
        <v>16</v>
      </c>
      <c r="L221" s="8">
        <v>1</v>
      </c>
      <c r="M221" s="8">
        <v>108</v>
      </c>
    </row>
    <row r="222" spans="11:13" ht="30" customHeight="1" x14ac:dyDescent="0.25">
      <c r="K222" s="9" t="s">
        <v>13</v>
      </c>
      <c r="L222" s="8">
        <v>1</v>
      </c>
      <c r="M222" s="8">
        <v>108</v>
      </c>
    </row>
    <row r="223" spans="11:13" ht="30" customHeight="1" x14ac:dyDescent="0.25">
      <c r="K223" s="9" t="s">
        <v>211</v>
      </c>
      <c r="L223" s="8">
        <v>1</v>
      </c>
      <c r="M223" s="8">
        <v>109</v>
      </c>
    </row>
    <row r="224" spans="11:13" ht="30" customHeight="1" x14ac:dyDescent="0.25">
      <c r="K224" s="9" t="s">
        <v>157</v>
      </c>
      <c r="L224" s="8">
        <v>1</v>
      </c>
      <c r="M224" s="8">
        <v>109</v>
      </c>
    </row>
    <row r="225" spans="11:13" ht="30" customHeight="1" x14ac:dyDescent="0.25">
      <c r="K225" s="9" t="s">
        <v>13</v>
      </c>
      <c r="L225" s="8">
        <v>1</v>
      </c>
      <c r="M225" s="8">
        <v>109</v>
      </c>
    </row>
    <row r="226" spans="11:13" ht="30" customHeight="1" x14ac:dyDescent="0.25">
      <c r="K226" s="9" t="s">
        <v>211</v>
      </c>
      <c r="L226" s="8">
        <v>1</v>
      </c>
      <c r="M226" s="8">
        <v>110</v>
      </c>
    </row>
    <row r="227" spans="11:13" ht="30" customHeight="1" x14ac:dyDescent="0.25">
      <c r="K227" s="9" t="s">
        <v>16</v>
      </c>
      <c r="L227" s="8">
        <v>1</v>
      </c>
      <c r="M227" s="8">
        <v>110</v>
      </c>
    </row>
    <row r="228" spans="11:13" ht="30" customHeight="1" x14ac:dyDescent="0.25">
      <c r="K228" s="9" t="s">
        <v>13</v>
      </c>
      <c r="L228" s="8">
        <v>1</v>
      </c>
      <c r="M228" s="8">
        <v>110</v>
      </c>
    </row>
    <row r="229" spans="11:13" ht="30" customHeight="1" x14ac:dyDescent="0.25">
      <c r="K229" s="9" t="s">
        <v>211</v>
      </c>
      <c r="L229" s="8">
        <v>3</v>
      </c>
      <c r="M229" s="8">
        <v>111</v>
      </c>
    </row>
    <row r="230" spans="11:13" ht="30" customHeight="1" x14ac:dyDescent="0.25">
      <c r="K230" s="9" t="s">
        <v>16</v>
      </c>
      <c r="L230" s="8">
        <v>1</v>
      </c>
      <c r="M230" s="8">
        <v>111</v>
      </c>
    </row>
    <row r="231" spans="11:13" ht="30" customHeight="1" x14ac:dyDescent="0.25">
      <c r="K231" s="9" t="s">
        <v>211</v>
      </c>
      <c r="L231" s="8">
        <v>9</v>
      </c>
      <c r="M231" s="8">
        <v>112</v>
      </c>
    </row>
    <row r="232" spans="11:13" ht="30" customHeight="1" x14ac:dyDescent="0.25">
      <c r="K232" s="9" t="s">
        <v>16</v>
      </c>
      <c r="L232" s="8">
        <v>3</v>
      </c>
      <c r="M232" s="8">
        <v>112</v>
      </c>
    </row>
    <row r="233" spans="11:13" ht="30" customHeight="1" x14ac:dyDescent="0.25">
      <c r="K233" s="9" t="s">
        <v>211</v>
      </c>
      <c r="L233" s="8">
        <v>3</v>
      </c>
      <c r="M233" s="8">
        <v>113</v>
      </c>
    </row>
    <row r="234" spans="11:13" ht="30" customHeight="1" x14ac:dyDescent="0.25">
      <c r="K234" s="9" t="s">
        <v>16</v>
      </c>
      <c r="L234" s="8">
        <v>2</v>
      </c>
      <c r="M234" s="8">
        <v>113</v>
      </c>
    </row>
    <row r="235" spans="11:13" ht="30" customHeight="1" x14ac:dyDescent="0.25">
      <c r="K235" s="9" t="s">
        <v>242</v>
      </c>
      <c r="L235" s="8">
        <v>1</v>
      </c>
      <c r="M235" s="8">
        <v>113</v>
      </c>
    </row>
    <row r="236" spans="11:13" ht="30" customHeight="1" x14ac:dyDescent="0.25">
      <c r="K236" s="9" t="s">
        <v>211</v>
      </c>
      <c r="L236" s="8">
        <v>6</v>
      </c>
      <c r="M236" s="8">
        <v>114</v>
      </c>
    </row>
    <row r="237" spans="11:13" ht="30" customHeight="1" x14ac:dyDescent="0.25">
      <c r="K237" s="9" t="s">
        <v>16</v>
      </c>
      <c r="L237" s="8">
        <v>2</v>
      </c>
      <c r="M237" s="8">
        <v>114</v>
      </c>
    </row>
    <row r="238" spans="11:13" ht="30" customHeight="1" x14ac:dyDescent="0.25">
      <c r="K238" s="9" t="s">
        <v>211</v>
      </c>
      <c r="L238" s="8">
        <v>3</v>
      </c>
      <c r="M238" s="8">
        <v>115</v>
      </c>
    </row>
    <row r="239" spans="11:13" ht="30" customHeight="1" x14ac:dyDescent="0.25">
      <c r="K239" s="9" t="s">
        <v>16</v>
      </c>
      <c r="L239" s="8">
        <v>2</v>
      </c>
      <c r="M239" s="8">
        <v>115</v>
      </c>
    </row>
  </sheetData>
  <conditionalFormatting sqref="B8:F79">
    <cfRule type="expression" dxfId="12" priority="5">
      <formula>AND($C$3&lt;&gt;"",$C8=$C$3)</formula>
    </cfRule>
    <cfRule type="expression" dxfId="13" priority="10">
      <formula>COUNTIF(recipe_scheme_items,$C7)&gt;1</formula>
    </cfRule>
    <cfRule type="expression" dxfId="11" priority="4">
      <formula>$E8&gt;INDEX(tech_tree_current_points,MATCH($D8,tech_tree_names,0))</formula>
    </cfRule>
  </conditionalFormatting>
  <conditionalFormatting sqref="H8:I122">
    <cfRule type="expression" dxfId="5" priority="7">
      <formula>AND($C$3&lt;&gt;"",COUNTIFS(recipe_output_items,$C$3,recipe_output_recipe_ids,$H8)&gt;0)</formula>
    </cfRule>
    <cfRule type="expression" dxfId="4" priority="2">
      <formula>IFERROR(INDEX(recipe_scheme_tech_points,MATCH(INDEX(recipe_output_items,MATCH($H8,recipe_output_recipe_ids,0)),recipe_scheme_item,0))&gt;INDEX(tech_tree_current_points,MATCH(INDEX(recipe_scheme_tech_tree,MATCH(INDEX(recipe_output_items,MATCH($H8,recipe_output_recipe_ids,0)),recipe_scheme_item,0)),tech_tree_names,0)),FALSE)</formula>
    </cfRule>
  </conditionalFormatting>
  <conditionalFormatting sqref="K8:M239">
    <cfRule type="expression" dxfId="2" priority="8">
      <formula>AND($C$3&lt;&gt;"",COUNTIFS(recipe_output_items,$C$3,recipe_output_recipe_ids,$M8)&gt;0)</formula>
    </cfRule>
    <cfRule type="expression" dxfId="1" priority="1">
      <formula>IFERROR(INDEX(recipe_scheme_tech_points,MATCH(INDEX(recipe_output_items,MATCH($M8,recipe_output_recipe_ids,0)),recipe_scheme_item,0))&gt;INDEX(tech_tree_current_points,MATCH(INDEX(recipe_scheme_tech_tree,MATCH(INDEX(recipe_output_items,MATCH($M8,recipe_output_recipe_ids,0)),recipe_scheme_item,0)),tech_tree_names,0)),FALSE)</formula>
    </cfRule>
  </conditionalFormatting>
  <conditionalFormatting sqref="O8:Q125">
    <cfRule type="expression" dxfId="8" priority="6">
      <formula>AND($C$3&lt;&gt;"",$O8=$C$3)</formula>
    </cfRule>
    <cfRule type="expression" dxfId="7" priority="3">
      <formula>IFERROR(INDEX(recipe_scheme_tech_points,MATCH($O8,recipe_scheme_item,0))&gt;INDEX(tech_tree_current_points,MATCH(INDEX(recipe_scheme_tech_tree,MATCH($O8,recipe_scheme_item,0)),tech_tree_names,0)),FALSE)</formula>
    </cfRule>
  </conditionalFormatting>
  <dataValidations count="3">
    <dataValidation type="list" allowBlank="1" showInputMessage="1" showErrorMessage="1" sqref="M8:M239 Q8:Q125" xr:uid="{C5C8CAF5-DDAA-4D87-9D58-EA94B978EF8B}">
      <formula1>recipe_ids</formula1>
    </dataValidation>
    <dataValidation type="list" allowBlank="1" showInputMessage="1" showErrorMessage="1" sqref="K8:K239 O8:O125 C3 C8:C79" xr:uid="{BF82080F-59F3-4626-997C-C554379F3ACA}">
      <formula1>item_names</formula1>
    </dataValidation>
    <dataValidation type="list" allowBlank="1" showInputMessage="1" showErrorMessage="1" sqref="D8:D79" xr:uid="{A661D39E-8607-4972-9998-DD20309B6C8D}">
      <formula1>tech_tree_names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DC82-C322-4B02-A67F-341D723EE380}">
  <dimension ref="B3:D9"/>
  <sheetViews>
    <sheetView workbookViewId="0">
      <selection activeCell="D10" sqref="D10"/>
    </sheetView>
  </sheetViews>
  <sheetFormatPr defaultColWidth="16.7109375" defaultRowHeight="30" customHeight="1" x14ac:dyDescent="0.25"/>
  <cols>
    <col min="1" max="16384" width="16.7109375" style="1"/>
  </cols>
  <sheetData>
    <row r="3" spans="2:4" ht="30" customHeight="1" x14ac:dyDescent="0.25">
      <c r="B3" s="2" t="s">
        <v>39</v>
      </c>
    </row>
    <row r="5" spans="2:4" ht="30" customHeight="1" x14ac:dyDescent="0.25">
      <c r="B5" s="1" t="s">
        <v>2</v>
      </c>
      <c r="C5" s="1" t="s">
        <v>239</v>
      </c>
      <c r="D5" s="1" t="s">
        <v>243</v>
      </c>
    </row>
    <row r="6" spans="2:4" ht="30" customHeight="1" x14ac:dyDescent="0.25">
      <c r="B6" s="1" t="s">
        <v>40</v>
      </c>
      <c r="C6" s="4">
        <f>_xlfn.MAXIFS(buildings[Tech Tree Points],buildings[Tech Tree],tech_trees[[#This Row],[Name]])</f>
        <v>10000</v>
      </c>
      <c r="D6" s="11">
        <v>0</v>
      </c>
    </row>
    <row r="7" spans="2:4" ht="30" customHeight="1" x14ac:dyDescent="0.25">
      <c r="B7" s="1" t="s">
        <v>42</v>
      </c>
      <c r="C7" s="4">
        <f>_xlfn.MAXIFS(buildings[Tech Tree Points],buildings[Tech Tree],tech_trees[[#This Row],[Name]])</f>
        <v>5000</v>
      </c>
      <c r="D7" s="11">
        <v>0</v>
      </c>
    </row>
    <row r="8" spans="2:4" ht="30" customHeight="1" x14ac:dyDescent="0.25">
      <c r="B8" s="1" t="s">
        <v>41</v>
      </c>
      <c r="C8" s="4">
        <f>_xlfn.MAXIFS(buildings[Tech Tree Points],buildings[Tech Tree],tech_trees[[#This Row],[Name]])</f>
        <v>10000</v>
      </c>
      <c r="D8" s="11">
        <v>0</v>
      </c>
    </row>
    <row r="9" spans="2:4" ht="30" customHeight="1" x14ac:dyDescent="0.25">
      <c r="B9" s="1" t="s">
        <v>43</v>
      </c>
      <c r="C9" s="4">
        <f>_xlfn.MAXIFS(buildings[Tech Tree Points],buildings[Tech Tree],tech_trees[[#This Row],[Name]])</f>
        <v>10000</v>
      </c>
      <c r="D9" s="11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C8BED-E7F2-4F74-9159-8D3DF7739F5A}">
  <dimension ref="B3:D51"/>
  <sheetViews>
    <sheetView workbookViewId="0">
      <selection activeCell="E5" sqref="E5"/>
    </sheetView>
  </sheetViews>
  <sheetFormatPr defaultColWidth="16.7109375" defaultRowHeight="30" customHeight="1" x14ac:dyDescent="0.25"/>
  <cols>
    <col min="1" max="1" width="16.7109375" style="1"/>
    <col min="2" max="2" width="24.7109375" style="1" customWidth="1"/>
    <col min="3" max="3" width="16.7109375" style="1"/>
    <col min="4" max="4" width="18.140625" style="3" customWidth="1"/>
    <col min="5" max="16384" width="16.7109375" style="1"/>
  </cols>
  <sheetData>
    <row r="3" spans="2:4" ht="30" customHeight="1" x14ac:dyDescent="0.25">
      <c r="B3" s="2" t="s">
        <v>46</v>
      </c>
    </row>
    <row r="5" spans="2:4" ht="30" customHeight="1" x14ac:dyDescent="0.25">
      <c r="B5" s="1" t="s">
        <v>2</v>
      </c>
      <c r="C5" s="1" t="s">
        <v>44</v>
      </c>
      <c r="D5" s="1" t="s">
        <v>240</v>
      </c>
    </row>
    <row r="6" spans="2:4" ht="30" customHeight="1" x14ac:dyDescent="0.25">
      <c r="B6" s="1" t="s">
        <v>47</v>
      </c>
      <c r="C6" s="1" t="s">
        <v>40</v>
      </c>
      <c r="D6" s="4">
        <v>20</v>
      </c>
    </row>
    <row r="7" spans="2:4" ht="30" customHeight="1" x14ac:dyDescent="0.25">
      <c r="B7" s="1" t="s">
        <v>48</v>
      </c>
      <c r="C7" s="1" t="s">
        <v>40</v>
      </c>
      <c r="D7" s="4">
        <v>50</v>
      </c>
    </row>
    <row r="8" spans="2:4" ht="30" customHeight="1" x14ac:dyDescent="0.25">
      <c r="B8" s="1" t="s">
        <v>54</v>
      </c>
      <c r="C8" s="1" t="s">
        <v>40</v>
      </c>
      <c r="D8" s="4">
        <v>100</v>
      </c>
    </row>
    <row r="9" spans="2:4" ht="30" customHeight="1" x14ac:dyDescent="0.25">
      <c r="B9" s="1" t="s">
        <v>49</v>
      </c>
      <c r="C9" s="1" t="s">
        <v>40</v>
      </c>
      <c r="D9" s="4">
        <v>250</v>
      </c>
    </row>
    <row r="10" spans="2:4" ht="30" customHeight="1" x14ac:dyDescent="0.25">
      <c r="B10" s="1" t="s">
        <v>50</v>
      </c>
      <c r="C10" s="1" t="s">
        <v>40</v>
      </c>
      <c r="D10" s="4">
        <v>500</v>
      </c>
    </row>
    <row r="11" spans="2:4" ht="30" customHeight="1" x14ac:dyDescent="0.25">
      <c r="B11" s="1" t="s">
        <v>51</v>
      </c>
      <c r="C11" s="1" t="s">
        <v>40</v>
      </c>
      <c r="D11" s="4">
        <v>1000</v>
      </c>
    </row>
    <row r="12" spans="2:4" ht="30" customHeight="1" x14ac:dyDescent="0.25">
      <c r="B12" s="1" t="s">
        <v>52</v>
      </c>
      <c r="C12" s="1" t="s">
        <v>40</v>
      </c>
      <c r="D12" s="4">
        <v>1500</v>
      </c>
    </row>
    <row r="13" spans="2:4" ht="30" customHeight="1" x14ac:dyDescent="0.25">
      <c r="B13" s="1" t="s">
        <v>53</v>
      </c>
      <c r="C13" s="1" t="s">
        <v>40</v>
      </c>
      <c r="D13" s="4">
        <v>2500</v>
      </c>
    </row>
    <row r="14" spans="2:4" ht="30" customHeight="1" x14ac:dyDescent="0.25">
      <c r="B14" s="1" t="s">
        <v>55</v>
      </c>
      <c r="C14" s="1" t="s">
        <v>40</v>
      </c>
      <c r="D14" s="4">
        <v>5000</v>
      </c>
    </row>
    <row r="15" spans="2:4" ht="30" customHeight="1" x14ac:dyDescent="0.25">
      <c r="B15" s="1" t="s">
        <v>56</v>
      </c>
      <c r="C15" s="1" t="s">
        <v>40</v>
      </c>
      <c r="D15" s="4">
        <v>7500</v>
      </c>
    </row>
    <row r="16" spans="2:4" ht="30" customHeight="1" x14ac:dyDescent="0.25">
      <c r="B16" s="1" t="s">
        <v>57</v>
      </c>
      <c r="C16" s="1" t="s">
        <v>40</v>
      </c>
      <c r="D16" s="4">
        <v>10000</v>
      </c>
    </row>
    <row r="17" spans="2:4" ht="30" customHeight="1" x14ac:dyDescent="0.25">
      <c r="B17" s="1" t="s">
        <v>58</v>
      </c>
      <c r="C17" s="1" t="s">
        <v>42</v>
      </c>
      <c r="D17" s="4">
        <v>50</v>
      </c>
    </row>
    <row r="18" spans="2:4" ht="30" customHeight="1" x14ac:dyDescent="0.25">
      <c r="B18" s="1" t="s">
        <v>59</v>
      </c>
      <c r="C18" s="1" t="s">
        <v>42</v>
      </c>
      <c r="D18" s="4">
        <v>100</v>
      </c>
    </row>
    <row r="19" spans="2:4" ht="30" customHeight="1" x14ac:dyDescent="0.25">
      <c r="B19" s="1" t="s">
        <v>60</v>
      </c>
      <c r="C19" s="1" t="s">
        <v>42</v>
      </c>
      <c r="D19" s="4">
        <v>500</v>
      </c>
    </row>
    <row r="20" spans="2:4" ht="30" customHeight="1" x14ac:dyDescent="0.25">
      <c r="B20" s="1" t="s">
        <v>61</v>
      </c>
      <c r="C20" s="1" t="s">
        <v>42</v>
      </c>
      <c r="D20" s="4">
        <v>1000</v>
      </c>
    </row>
    <row r="21" spans="2:4" ht="30" customHeight="1" x14ac:dyDescent="0.25">
      <c r="B21" s="1" t="s">
        <v>62</v>
      </c>
      <c r="C21" s="1" t="s">
        <v>42</v>
      </c>
      <c r="D21" s="4">
        <v>2500</v>
      </c>
    </row>
    <row r="22" spans="2:4" ht="30" customHeight="1" x14ac:dyDescent="0.25">
      <c r="B22" s="1" t="s">
        <v>63</v>
      </c>
      <c r="C22" s="1" t="s">
        <v>42</v>
      </c>
      <c r="D22" s="4">
        <v>5000</v>
      </c>
    </row>
    <row r="23" spans="2:4" ht="30" customHeight="1" x14ac:dyDescent="0.25">
      <c r="B23" s="1" t="s">
        <v>64</v>
      </c>
      <c r="C23" s="1" t="s">
        <v>41</v>
      </c>
      <c r="D23" s="4">
        <v>5</v>
      </c>
    </row>
    <row r="24" spans="2:4" ht="30" customHeight="1" x14ac:dyDescent="0.25">
      <c r="B24" s="1" t="s">
        <v>65</v>
      </c>
      <c r="C24" s="1" t="s">
        <v>41</v>
      </c>
      <c r="D24" s="4">
        <v>10</v>
      </c>
    </row>
    <row r="25" spans="2:4" ht="30" customHeight="1" x14ac:dyDescent="0.25">
      <c r="B25" s="1" t="s">
        <v>66</v>
      </c>
      <c r="C25" s="1" t="s">
        <v>41</v>
      </c>
      <c r="D25" s="4">
        <v>15</v>
      </c>
    </row>
    <row r="26" spans="2:4" ht="30" customHeight="1" x14ac:dyDescent="0.25">
      <c r="B26" s="1" t="s">
        <v>67</v>
      </c>
      <c r="C26" s="1" t="s">
        <v>41</v>
      </c>
      <c r="D26" s="4">
        <v>50</v>
      </c>
    </row>
    <row r="27" spans="2:4" ht="30" customHeight="1" x14ac:dyDescent="0.25">
      <c r="B27" s="1" t="s">
        <v>68</v>
      </c>
      <c r="C27" s="1" t="s">
        <v>41</v>
      </c>
      <c r="D27" s="4">
        <v>100</v>
      </c>
    </row>
    <row r="28" spans="2:4" ht="30" customHeight="1" x14ac:dyDescent="0.25">
      <c r="B28" s="1" t="s">
        <v>69</v>
      </c>
      <c r="C28" s="1" t="s">
        <v>41</v>
      </c>
      <c r="D28" s="4">
        <v>250</v>
      </c>
    </row>
    <row r="29" spans="2:4" ht="30" customHeight="1" x14ac:dyDescent="0.25">
      <c r="B29" s="1" t="s">
        <v>70</v>
      </c>
      <c r="C29" s="1" t="s">
        <v>41</v>
      </c>
      <c r="D29" s="4">
        <v>500</v>
      </c>
    </row>
    <row r="30" spans="2:4" ht="30" customHeight="1" x14ac:dyDescent="0.25">
      <c r="B30" s="1" t="s">
        <v>71</v>
      </c>
      <c r="C30" s="1" t="s">
        <v>41</v>
      </c>
      <c r="D30" s="4">
        <v>1000</v>
      </c>
    </row>
    <row r="31" spans="2:4" ht="30" customHeight="1" x14ac:dyDescent="0.25">
      <c r="B31" s="1" t="s">
        <v>72</v>
      </c>
      <c r="C31" s="1" t="s">
        <v>41</v>
      </c>
      <c r="D31" s="4">
        <v>1500</v>
      </c>
    </row>
    <row r="32" spans="2:4" ht="30" customHeight="1" x14ac:dyDescent="0.25">
      <c r="B32" s="1" t="s">
        <v>73</v>
      </c>
      <c r="C32" s="1" t="s">
        <v>41</v>
      </c>
      <c r="D32" s="4">
        <v>2000</v>
      </c>
    </row>
    <row r="33" spans="2:4" ht="30" customHeight="1" x14ac:dyDescent="0.25">
      <c r="B33" s="1" t="s">
        <v>74</v>
      </c>
      <c r="C33" s="1" t="s">
        <v>41</v>
      </c>
      <c r="D33" s="4">
        <v>2500</v>
      </c>
    </row>
    <row r="34" spans="2:4" ht="30" customHeight="1" x14ac:dyDescent="0.25">
      <c r="B34" s="1" t="s">
        <v>75</v>
      </c>
      <c r="C34" s="1" t="s">
        <v>41</v>
      </c>
      <c r="D34" s="4">
        <v>3500</v>
      </c>
    </row>
    <row r="35" spans="2:4" ht="30" customHeight="1" x14ac:dyDescent="0.25">
      <c r="B35" s="1" t="s">
        <v>76</v>
      </c>
      <c r="C35" s="1" t="s">
        <v>41</v>
      </c>
      <c r="D35" s="4">
        <v>5000</v>
      </c>
    </row>
    <row r="36" spans="2:4" ht="30" customHeight="1" x14ac:dyDescent="0.25">
      <c r="B36" s="1" t="s">
        <v>77</v>
      </c>
      <c r="C36" s="1" t="s">
        <v>41</v>
      </c>
      <c r="D36" s="4">
        <v>6500</v>
      </c>
    </row>
    <row r="37" spans="2:4" ht="30" customHeight="1" x14ac:dyDescent="0.25">
      <c r="B37" s="1" t="s">
        <v>78</v>
      </c>
      <c r="C37" s="1" t="s">
        <v>41</v>
      </c>
      <c r="D37" s="4">
        <v>8000</v>
      </c>
    </row>
    <row r="38" spans="2:4" ht="30" customHeight="1" x14ac:dyDescent="0.25">
      <c r="B38" s="1" t="s">
        <v>79</v>
      </c>
      <c r="C38" s="1" t="s">
        <v>41</v>
      </c>
      <c r="D38" s="4">
        <v>10000</v>
      </c>
    </row>
    <row r="39" spans="2:4" ht="30" customHeight="1" x14ac:dyDescent="0.25">
      <c r="B39" s="1" t="s">
        <v>80</v>
      </c>
      <c r="C39" s="1" t="s">
        <v>43</v>
      </c>
      <c r="D39" s="4">
        <v>5</v>
      </c>
    </row>
    <row r="40" spans="2:4" ht="30" customHeight="1" x14ac:dyDescent="0.25">
      <c r="B40" s="1" t="s">
        <v>81</v>
      </c>
      <c r="C40" s="1" t="s">
        <v>43</v>
      </c>
      <c r="D40" s="4">
        <v>25</v>
      </c>
    </row>
    <row r="41" spans="2:4" ht="30" customHeight="1" x14ac:dyDescent="0.25">
      <c r="B41" s="1" t="s">
        <v>82</v>
      </c>
      <c r="C41" s="1" t="s">
        <v>43</v>
      </c>
      <c r="D41" s="4">
        <v>50</v>
      </c>
    </row>
    <row r="42" spans="2:4" ht="30" customHeight="1" x14ac:dyDescent="0.25">
      <c r="B42" s="1" t="s">
        <v>83</v>
      </c>
      <c r="C42" s="1" t="s">
        <v>43</v>
      </c>
      <c r="D42" s="4">
        <v>100</v>
      </c>
    </row>
    <row r="43" spans="2:4" ht="30" customHeight="1" x14ac:dyDescent="0.25">
      <c r="B43" s="1" t="s">
        <v>84</v>
      </c>
      <c r="C43" s="1" t="s">
        <v>43</v>
      </c>
      <c r="D43" s="4">
        <v>250</v>
      </c>
    </row>
    <row r="44" spans="2:4" ht="30" customHeight="1" x14ac:dyDescent="0.25">
      <c r="B44" s="1" t="s">
        <v>85</v>
      </c>
      <c r="C44" s="1" t="s">
        <v>43</v>
      </c>
      <c r="D44" s="4">
        <v>500</v>
      </c>
    </row>
    <row r="45" spans="2:4" ht="30" customHeight="1" x14ac:dyDescent="0.25">
      <c r="B45" s="1" t="s">
        <v>86</v>
      </c>
      <c r="C45" s="1" t="s">
        <v>43</v>
      </c>
      <c r="D45" s="4">
        <v>750</v>
      </c>
    </row>
    <row r="46" spans="2:4" ht="30" customHeight="1" x14ac:dyDescent="0.25">
      <c r="B46" s="1" t="s">
        <v>87</v>
      </c>
      <c r="C46" s="1" t="s">
        <v>43</v>
      </c>
      <c r="D46" s="4">
        <v>1500</v>
      </c>
    </row>
    <row r="47" spans="2:4" ht="30" customHeight="1" x14ac:dyDescent="0.25">
      <c r="B47" s="1" t="s">
        <v>88</v>
      </c>
      <c r="C47" s="1" t="s">
        <v>43</v>
      </c>
      <c r="D47" s="4">
        <v>2500</v>
      </c>
    </row>
    <row r="48" spans="2:4" ht="30" customHeight="1" x14ac:dyDescent="0.25">
      <c r="B48" s="1" t="s">
        <v>89</v>
      </c>
      <c r="C48" s="1" t="s">
        <v>43</v>
      </c>
      <c r="D48" s="4">
        <v>3500</v>
      </c>
    </row>
    <row r="49" spans="2:4" ht="30" customHeight="1" x14ac:dyDescent="0.25">
      <c r="B49" s="1" t="s">
        <v>90</v>
      </c>
      <c r="C49" s="1" t="s">
        <v>43</v>
      </c>
      <c r="D49" s="4">
        <v>5000</v>
      </c>
    </row>
    <row r="50" spans="2:4" ht="30" customHeight="1" x14ac:dyDescent="0.25">
      <c r="B50" s="1" t="s">
        <v>91</v>
      </c>
      <c r="C50" s="1" t="s">
        <v>43</v>
      </c>
      <c r="D50" s="4">
        <v>7500</v>
      </c>
    </row>
    <row r="51" spans="2:4" ht="30" customHeight="1" x14ac:dyDescent="0.25">
      <c r="B51" s="1" t="s">
        <v>92</v>
      </c>
      <c r="C51" s="1" t="s">
        <v>43</v>
      </c>
      <c r="D51" s="4">
        <v>10000</v>
      </c>
    </row>
  </sheetData>
  <dataValidations count="1">
    <dataValidation type="list" allowBlank="1" showInputMessage="1" showErrorMessage="1" sqref="C6:C51" xr:uid="{F4949A23-3D27-4309-A995-E86033E41DD3}">
      <formula1>tech_tree_names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Items</vt:lpstr>
      <vt:lpstr>Recipes</vt:lpstr>
      <vt:lpstr>Technology Trees</vt:lpstr>
      <vt:lpstr>Buildings</vt:lpstr>
      <vt:lpstr>item_category_names</vt:lpstr>
      <vt:lpstr>item_names</vt:lpstr>
      <vt:lpstr>recipe_ids</vt:lpstr>
      <vt:lpstr>recipe_output_items</vt:lpstr>
      <vt:lpstr>recipe_output_recipe_ids</vt:lpstr>
      <vt:lpstr>recipe_scheme_item</vt:lpstr>
      <vt:lpstr>recipe_scheme_tech_points</vt:lpstr>
      <vt:lpstr>recipe_scheme_tech_tree</vt:lpstr>
      <vt:lpstr>tech_tree_current_points</vt:lpstr>
      <vt:lpstr>tech_tree_names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Wellner (21144192)</dc:creator>
  <cp:lastModifiedBy>Oscar Wellner (21144192)</cp:lastModifiedBy>
  <dcterms:created xsi:type="dcterms:W3CDTF">2026-07-02T07:25:50Z</dcterms:created>
  <dcterms:modified xsi:type="dcterms:W3CDTF">2026-07-04T13:02:35Z</dcterms:modified>
</cp:coreProperties>
</file>