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oscar\dev\personal\craftsmans-ledger\data\"/>
    </mc:Choice>
  </mc:AlternateContent>
  <xr:revisionPtr revIDLastSave="0" documentId="13_ncr:1_{BFFE9321-5B47-4877-B347-55473E586304}" xr6:coauthVersionLast="47" xr6:coauthVersionMax="47" xr10:uidLastSave="{00000000-0000-0000-0000-000000000000}"/>
  <bookViews>
    <workbookView xWindow="38280" yWindow="-120" windowWidth="38640" windowHeight="21120" activeTab="1" xr2:uid="{7FA3DDC5-B508-4716-B2FE-7E70B4803FC2}"/>
  </bookViews>
  <sheets>
    <sheet name="Items" sheetId="5" r:id="rId1"/>
    <sheet name="Recipes" sheetId="7" r:id="rId2"/>
    <sheet name="Technology Trees" sheetId="8" r:id="rId3"/>
    <sheet name="Buildings" sheetId="10" r:id="rId4"/>
  </sheets>
  <definedNames>
    <definedName name="item_category_names">item_categories[Name]</definedName>
    <definedName name="item_names">items[Name]</definedName>
    <definedName name="recipe_ids">recipes[ID]</definedName>
    <definedName name="recipe_output_items">recipe_outputs[Item]</definedName>
    <definedName name="recipe_output_recipe_ids">recipe_outputs[Recipe ID]</definedName>
    <definedName name="recipe_scheme_item">recipe_schemes[Item]</definedName>
    <definedName name="recipe_scheme_tech_points">recipe_schemes[Tech Points]</definedName>
    <definedName name="recipe_scheme_tech_tree">recipe_schemes[Tech Tree]</definedName>
    <definedName name="tech_tree_current_points">tech_trees[Current Points]</definedName>
    <definedName name="tech_tree_names">tech_trees[Name]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7" l="1"/>
  <c r="K3" i="7" a="1"/>
  <c r="K3" i="7" s="1"/>
  <c r="C6" i="8"/>
  <c r="C7" i="8"/>
  <c r="C8" i="8"/>
  <c r="C9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<sst xmlns="http://schemas.openxmlformats.org/spreadsheetml/2006/main" count="1636" uniqueCount="537">
  <si>
    <t>Items</t>
  </si>
  <si>
    <t>ID</t>
  </si>
  <si>
    <t>Name</t>
  </si>
  <si>
    <t>Price</t>
  </si>
  <si>
    <t>Weight</t>
  </si>
  <si>
    <t>Wooden Hammer</t>
  </si>
  <si>
    <t>Wooden Shovel</t>
  </si>
  <si>
    <t>Wooden Hoe</t>
  </si>
  <si>
    <t>Stone Axe</t>
  </si>
  <si>
    <t>Stone Pickaxe</t>
  </si>
  <si>
    <t>Stone Knife</t>
  </si>
  <si>
    <t>Stone Sickle</t>
  </si>
  <si>
    <t>Wooden Spear</t>
  </si>
  <si>
    <t>Log</t>
  </si>
  <si>
    <t>Stick</t>
  </si>
  <si>
    <t>Stone</t>
  </si>
  <si>
    <t>Leather</t>
  </si>
  <si>
    <t>Recipe Inputs</t>
  </si>
  <si>
    <t>Crafting time</t>
  </si>
  <si>
    <t>Recipe Outputs</t>
  </si>
  <si>
    <t>Recipe ID</t>
  </si>
  <si>
    <t>Quantity</t>
  </si>
  <si>
    <t>Straw</t>
  </si>
  <si>
    <t>Firewood</t>
  </si>
  <si>
    <t>Meat</t>
  </si>
  <si>
    <t>Fish Meat</t>
  </si>
  <si>
    <t>Roasted Meat</t>
  </si>
  <si>
    <t>Roasted Fish Meat</t>
  </si>
  <si>
    <t>Ash</t>
  </si>
  <si>
    <t>Salted Meat</t>
  </si>
  <si>
    <t>Salted Fish Meat</t>
  </si>
  <si>
    <t>Perch</t>
  </si>
  <si>
    <t>Pike</t>
  </si>
  <si>
    <t>Roach</t>
  </si>
  <si>
    <t>Item</t>
  </si>
  <si>
    <t>Simple Bag</t>
  </si>
  <si>
    <t>Simple Torch</t>
  </si>
  <si>
    <t>Snowball</t>
  </si>
  <si>
    <t>Recipes</t>
  </si>
  <si>
    <t>Technology Trees</t>
  </si>
  <si>
    <t>Building</t>
  </si>
  <si>
    <t>Farming</t>
  </si>
  <si>
    <t>Survival</t>
  </si>
  <si>
    <t>Production</t>
  </si>
  <si>
    <t>Tech Tree</t>
  </si>
  <si>
    <t>Tech Points</t>
  </si>
  <si>
    <t>Buildings</t>
  </si>
  <si>
    <t>Well</t>
  </si>
  <si>
    <t>Resource Storage I</t>
  </si>
  <si>
    <t>Simple House</t>
  </si>
  <si>
    <t>Excavation Shed</t>
  </si>
  <si>
    <t>Resource Storage II</t>
  </si>
  <si>
    <t>House</t>
  </si>
  <si>
    <t>Woodshed II</t>
  </si>
  <si>
    <t>Woodshed I</t>
  </si>
  <si>
    <t>Mine</t>
  </si>
  <si>
    <t>Builder's Hut</t>
  </si>
  <si>
    <t>Resource Storage III</t>
  </si>
  <si>
    <t>Hunting Lodge I</t>
  </si>
  <si>
    <t>Herbalist's Hut I</t>
  </si>
  <si>
    <t>Fishing Hut I</t>
  </si>
  <si>
    <t>Hunting Lodge II</t>
  </si>
  <si>
    <t>Herbalist's Hut II</t>
  </si>
  <si>
    <t>Fishing Hut II</t>
  </si>
  <si>
    <t>Food Storage I</t>
  </si>
  <si>
    <t>Barn I</t>
  </si>
  <si>
    <t>Farm Shed</t>
  </si>
  <si>
    <t>Henhouse</t>
  </si>
  <si>
    <t>Pigsty</t>
  </si>
  <si>
    <t>Donkey Shelter</t>
  </si>
  <si>
    <t>Goose House</t>
  </si>
  <si>
    <t>Food Storage II</t>
  </si>
  <si>
    <t>Barn II</t>
  </si>
  <si>
    <t>Stable</t>
  </si>
  <si>
    <t>Fold</t>
  </si>
  <si>
    <t>Cowshed</t>
  </si>
  <si>
    <t>Apiary</t>
  </si>
  <si>
    <t>Food Storage III</t>
  </si>
  <si>
    <t>Barn III</t>
  </si>
  <si>
    <t>Windmill</t>
  </si>
  <si>
    <t>Workshop I</t>
  </si>
  <si>
    <t>Kitchen I</t>
  </si>
  <si>
    <t>Smithy I</t>
  </si>
  <si>
    <t>Sewing Hut I</t>
  </si>
  <si>
    <t>Workshop II</t>
  </si>
  <si>
    <t>Smithy II</t>
  </si>
  <si>
    <t>Sewing Hut II</t>
  </si>
  <si>
    <t>Kitchen II</t>
  </si>
  <si>
    <t>Market Stall</t>
  </si>
  <si>
    <t>Workshop III</t>
  </si>
  <si>
    <t>Smithy III</t>
  </si>
  <si>
    <t>Sewing Hut III</t>
  </si>
  <si>
    <t>Tavern</t>
  </si>
  <si>
    <t>Recipe Schemes</t>
  </si>
  <si>
    <t>Unlock Cost</t>
  </si>
  <si>
    <t>Plank</t>
  </si>
  <si>
    <t>Waterskin</t>
  </si>
  <si>
    <t>Waterskin with Water</t>
  </si>
  <si>
    <t>Bucket</t>
  </si>
  <si>
    <t>Wheat</t>
  </si>
  <si>
    <t>Wheat Grain</t>
  </si>
  <si>
    <t>Oat</t>
  </si>
  <si>
    <t>Oat Grain</t>
  </si>
  <si>
    <t>Rye</t>
  </si>
  <si>
    <t>Rye Grain</t>
  </si>
  <si>
    <t>Flax</t>
  </si>
  <si>
    <t>Flax Seed</t>
  </si>
  <si>
    <t>Flax Stalk</t>
  </si>
  <si>
    <t>Flour</t>
  </si>
  <si>
    <t>Daub</t>
  </si>
  <si>
    <t>Animal Feed</t>
  </si>
  <si>
    <t>Rot</t>
  </si>
  <si>
    <t>Poppy</t>
  </si>
  <si>
    <t>Poppy Seed</t>
  </si>
  <si>
    <t>Manure</t>
  </si>
  <si>
    <t>Item Categories</t>
  </si>
  <si>
    <t>Tools</t>
  </si>
  <si>
    <t>Clothes</t>
  </si>
  <si>
    <t>Consumable</t>
  </si>
  <si>
    <t>Crafting</t>
  </si>
  <si>
    <t>Miscellaneous</t>
  </si>
  <si>
    <t>Category</t>
  </si>
  <si>
    <t>Clay</t>
  </si>
  <si>
    <t>Small Wicker Basket</t>
  </si>
  <si>
    <t>Wooden Bowl</t>
  </si>
  <si>
    <t>Wooden Cup</t>
  </si>
  <si>
    <t>Wooden Plate</t>
  </si>
  <si>
    <t>Wooden Ladle</t>
  </si>
  <si>
    <t>Wooden Spoon</t>
  </si>
  <si>
    <t>Wooden Vial</t>
  </si>
  <si>
    <t>Torch</t>
  </si>
  <si>
    <t>Stone Spear</t>
  </si>
  <si>
    <t>Bow</t>
  </si>
  <si>
    <t>Stone Arrow</t>
  </si>
  <si>
    <t>Potion of Instant Healing I</t>
  </si>
  <si>
    <t>Potion of Healing I</t>
  </si>
  <si>
    <t>Potion of Stamina</t>
  </si>
  <si>
    <t>Potion of Saturation</t>
  </si>
  <si>
    <t>Potion of Instant Cure</t>
  </si>
  <si>
    <t>Poison</t>
  </si>
  <si>
    <t>Potion of Weight</t>
  </si>
  <si>
    <t>Potion of Temperature</t>
  </si>
  <si>
    <t>Potion of Strength</t>
  </si>
  <si>
    <t>Poisoned Stone Arrow</t>
  </si>
  <si>
    <t>Poisoned Copper Arrow</t>
  </si>
  <si>
    <t>Poisoned Bronze Arrow</t>
  </si>
  <si>
    <t>Poisoned Iron Arrow</t>
  </si>
  <si>
    <t>Poisoned Wooden Bolt</t>
  </si>
  <si>
    <t>Poisoned Copper Bolt</t>
  </si>
  <si>
    <t>Poisoned Bronze Bolt</t>
  </si>
  <si>
    <t>Poisoned Iron Bolt</t>
  </si>
  <si>
    <t>Yellow Dye</t>
  </si>
  <si>
    <t>Red Dye</t>
  </si>
  <si>
    <t>Linen Thread</t>
  </si>
  <si>
    <t>Feather</t>
  </si>
  <si>
    <t>Broadleaf Plantain</t>
  </si>
  <si>
    <t>Dandelion</t>
  </si>
  <si>
    <t>Chicory</t>
  </si>
  <si>
    <t>Daisy</t>
  </si>
  <si>
    <t>Hop</t>
  </si>
  <si>
    <t>St. John's Wort</t>
  </si>
  <si>
    <t>Deadly Nightshade</t>
  </si>
  <si>
    <t>Henbane</t>
  </si>
  <si>
    <t>Copper Arrow</t>
  </si>
  <si>
    <t>Bronze Arrow</t>
  </si>
  <si>
    <t>Iron Arrow</t>
  </si>
  <si>
    <t>Wooden Bolt</t>
  </si>
  <si>
    <t>Copper Bolt</t>
  </si>
  <si>
    <t>Bronze Bolt</t>
  </si>
  <si>
    <t>Iron Bolt</t>
  </si>
  <si>
    <t>Clay Vase</t>
  </si>
  <si>
    <t>Onion</t>
  </si>
  <si>
    <t>Clay Bowl</t>
  </si>
  <si>
    <t>Berry</t>
  </si>
  <si>
    <t>Recipe(s)</t>
  </si>
  <si>
    <t>Dried Meat</t>
  </si>
  <si>
    <t>Dried Fish Meat</t>
  </si>
  <si>
    <t>Longbow</t>
  </si>
  <si>
    <t>Recurve Bow</t>
  </si>
  <si>
    <t>Thistle</t>
  </si>
  <si>
    <t>Porridge</t>
  </si>
  <si>
    <t>Gruel</t>
  </si>
  <si>
    <t>Potage</t>
  </si>
  <si>
    <t>Stew</t>
  </si>
  <si>
    <t>Soup</t>
  </si>
  <si>
    <t>Meat with Gravy</t>
  </si>
  <si>
    <t>Mushroom Soup</t>
  </si>
  <si>
    <t>Scrambled Eggs</t>
  </si>
  <si>
    <t>Quark</t>
  </si>
  <si>
    <t>Flatbread</t>
  </si>
  <si>
    <t>Flatbread with Onion</t>
  </si>
  <si>
    <t>Cabbage</t>
  </si>
  <si>
    <t>Cabbage Seed</t>
  </si>
  <si>
    <t>Carrot</t>
  </si>
  <si>
    <t>Carrot Seed</t>
  </si>
  <si>
    <t>Beetroot</t>
  </si>
  <si>
    <t>Beetroot Seed</t>
  </si>
  <si>
    <t>Bolete Mushroom</t>
  </si>
  <si>
    <t>Parasol Mushroom</t>
  </si>
  <si>
    <t>Red Pine Mushroom</t>
  </si>
  <si>
    <t>Egg</t>
  </si>
  <si>
    <t>Bucket of Milk</t>
  </si>
  <si>
    <t>Bucket of Soured Milk</t>
  </si>
  <si>
    <t>Copper Ore</t>
  </si>
  <si>
    <t>Copper Bar</t>
  </si>
  <si>
    <t>Tin Ore</t>
  </si>
  <si>
    <t>Tin Bar</t>
  </si>
  <si>
    <t>Bronze Bar</t>
  </si>
  <si>
    <t>Iron Ore</t>
  </si>
  <si>
    <t>Iron Bar</t>
  </si>
  <si>
    <t>Fishing Spear</t>
  </si>
  <si>
    <t>Stone Hoe</t>
  </si>
  <si>
    <t>Cudgel</t>
  </si>
  <si>
    <t>Wooden Round Shield</t>
  </si>
  <si>
    <t>Throwing Stone</t>
  </si>
  <si>
    <t>Copper Hammer</t>
  </si>
  <si>
    <t>Copper Axe</t>
  </si>
  <si>
    <t>Copper Shovel</t>
  </si>
  <si>
    <t>Copper Knife</t>
  </si>
  <si>
    <t>Copper Sickle</t>
  </si>
  <si>
    <t>Copper Hoe</t>
  </si>
  <si>
    <t>Copper Spear</t>
  </si>
  <si>
    <t>Spiked Cudgel</t>
  </si>
  <si>
    <t>Copper Round Shield</t>
  </si>
  <si>
    <t>Copper Kite Shield</t>
  </si>
  <si>
    <t>Bronze Dagger</t>
  </si>
  <si>
    <t>Bronze Sword</t>
  </si>
  <si>
    <t>Bronze Battle Axe</t>
  </si>
  <si>
    <t>Bronze Pick</t>
  </si>
  <si>
    <t>Bronze Mace</t>
  </si>
  <si>
    <t>Bronze Helmet</t>
  </si>
  <si>
    <t>Bronze Armour</t>
  </si>
  <si>
    <t>Bronze Bracers</t>
  </si>
  <si>
    <t>Bronze Legwear</t>
  </si>
  <si>
    <t>Bronze Greaves</t>
  </si>
  <si>
    <t>Max Points</t>
  </si>
  <si>
    <t>Tech Tree Points</t>
  </si>
  <si>
    <t>Recipe Scheme</t>
  </si>
  <si>
    <t>Current Points</t>
  </si>
  <si>
    <t>Bag</t>
  </si>
  <si>
    <t>Linen Fabric</t>
  </si>
  <si>
    <t>Winter Cap</t>
  </si>
  <si>
    <t>Simple Hood</t>
  </si>
  <si>
    <t>Basic Shirt</t>
  </si>
  <si>
    <t>Simple Tunic</t>
  </si>
  <si>
    <t>Simple Dress</t>
  </si>
  <si>
    <t>Basic Trousers</t>
  </si>
  <si>
    <t>Simple Trousers</t>
  </si>
  <si>
    <t>Winter Collar</t>
  </si>
  <si>
    <t>Simple Coif</t>
  </si>
  <si>
    <t>Basic Hat</t>
  </si>
  <si>
    <t>Simple Shoes</t>
  </si>
  <si>
    <t>Basic Shoes</t>
  </si>
  <si>
    <t>Winter Shoes</t>
  </si>
  <si>
    <t>Thin Boots</t>
  </si>
  <si>
    <t>Seamster's Shoes</t>
  </si>
  <si>
    <t>Blacksmith's Boots</t>
  </si>
  <si>
    <t>Cook's Shoes</t>
  </si>
  <si>
    <t>Small Pouch</t>
  </si>
  <si>
    <t>Simple Small Backpack</t>
  </si>
  <si>
    <t>Saddle</t>
  </si>
  <si>
    <t>Small Saddlebag</t>
  </si>
  <si>
    <t>Winter Coat</t>
  </si>
  <si>
    <t>Winter Bracers</t>
  </si>
  <si>
    <t>Winter Trousers</t>
  </si>
  <si>
    <t>Thin Gambeson</t>
  </si>
  <si>
    <t>Thin Gloves</t>
  </si>
  <si>
    <t>Wool</t>
  </si>
  <si>
    <t>Wool Thread</t>
  </si>
  <si>
    <t>Bronze Hammer</t>
  </si>
  <si>
    <t>Bronze Axe</t>
  </si>
  <si>
    <t>Bronze Pickaxe</t>
  </si>
  <si>
    <t>Bronze Shovel</t>
  </si>
  <si>
    <t>Bronze Knife</t>
  </si>
  <si>
    <t>Bronze Sickle</t>
  </si>
  <si>
    <t>Bronze Scythe</t>
  </si>
  <si>
    <t>Bronze Hoe</t>
  </si>
  <si>
    <t>Bronze Shearing Scissors</t>
  </si>
  <si>
    <t>Bronze Spear</t>
  </si>
  <si>
    <t>Wooden Crossbow</t>
  </si>
  <si>
    <t>Bronze Round Shield</t>
  </si>
  <si>
    <t>Bronze Kite Shield</t>
  </si>
  <si>
    <t>Iron Kite Shield</t>
  </si>
  <si>
    <t>Iron Dagger</t>
  </si>
  <si>
    <t>Iron Sword</t>
  </si>
  <si>
    <t>Iron Battle Axe</t>
  </si>
  <si>
    <t>Iron Mace</t>
  </si>
  <si>
    <t>Iron Pick</t>
  </si>
  <si>
    <t>Iron Helmet</t>
  </si>
  <si>
    <t>Iron Armour</t>
  </si>
  <si>
    <t>Iron Bracers</t>
  </si>
  <si>
    <t>Iron Legwear</t>
  </si>
  <si>
    <t>Iron Greaves</t>
  </si>
  <si>
    <t>Blacksmith's Apron</t>
  </si>
  <si>
    <t>Clay Vial</t>
  </si>
  <si>
    <t>Clay Vase with Chicory</t>
  </si>
  <si>
    <t>Clay Vase with Daisy</t>
  </si>
  <si>
    <t>Clay Vase with Dandelion</t>
  </si>
  <si>
    <t>Clay Vase with Henbane</t>
  </si>
  <si>
    <t>Clay Vase with St. John's Wort</t>
  </si>
  <si>
    <t>Clay Vase with Thistle</t>
  </si>
  <si>
    <t>Medium Wicker Basket</t>
  </si>
  <si>
    <t>Clay Bottle</t>
  </si>
  <si>
    <t>Clay Jug</t>
  </si>
  <si>
    <t>Clay Cup</t>
  </si>
  <si>
    <t>Fure</t>
  </si>
  <si>
    <t>Onion Seed</t>
  </si>
  <si>
    <t>Pear Tree Seedling</t>
  </si>
  <si>
    <t>Apple Tree Seedling</t>
  </si>
  <si>
    <t>Plum Tree Seedling</t>
  </si>
  <si>
    <t>Cherry Tree Seedling</t>
  </si>
  <si>
    <t>Hop Plant Seedling</t>
  </si>
  <si>
    <t>Fertiliser</t>
  </si>
  <si>
    <t>Limestone</t>
  </si>
  <si>
    <t>Salt</t>
  </si>
  <si>
    <t>Woold Fabric</t>
  </si>
  <si>
    <t>Beer Bottle</t>
  </si>
  <si>
    <t>Mead Bottle</t>
  </si>
  <si>
    <t>Wine Bottle</t>
  </si>
  <si>
    <t>Blue Dye</t>
  </si>
  <si>
    <t>Green Dye</t>
  </si>
  <si>
    <t>Orange Dye</t>
  </si>
  <si>
    <t>Violet Dye</t>
  </si>
  <si>
    <t>Black Dye</t>
  </si>
  <si>
    <t>Decolouriser</t>
  </si>
  <si>
    <t>Spruce Bark</t>
  </si>
  <si>
    <t>Small Evergreen Seedling</t>
  </si>
  <si>
    <t>Majestic Tree Seedling</t>
  </si>
  <si>
    <t>Hedge Seed</t>
  </si>
  <si>
    <t>Wild Rose Bush Seed</t>
  </si>
  <si>
    <t>Green Shrub Seed</t>
  </si>
  <si>
    <t>Yellow Flowering Shrub Seed</t>
  </si>
  <si>
    <t>White Flowering Shrub Seed</t>
  </si>
  <si>
    <t>Birch Seedling</t>
  </si>
  <si>
    <t>Maple Seedling</t>
  </si>
  <si>
    <t>Spruce Seedling</t>
  </si>
  <si>
    <t>Coin</t>
  </si>
  <si>
    <t>Large Wicker Basket</t>
  </si>
  <si>
    <t>Wicker Crate</t>
  </si>
  <si>
    <t>Wooden Wheel</t>
  </si>
  <si>
    <t>Clay Mug</t>
  </si>
  <si>
    <t>Amber Necklace</t>
  </si>
  <si>
    <t>Dried Dates</t>
  </si>
  <si>
    <t>Dried Figs</t>
  </si>
  <si>
    <t>Flute</t>
  </si>
  <si>
    <t>Glass Beads</t>
  </si>
  <si>
    <t>Glass Bottle</t>
  </si>
  <si>
    <t>Golden Ring</t>
  </si>
  <si>
    <t>Hand Fan</t>
  </si>
  <si>
    <t>Incense</t>
  </si>
  <si>
    <t>Jewellry Box</t>
  </si>
  <si>
    <t>Kaptorga</t>
  </si>
  <si>
    <t>Malvasia</t>
  </si>
  <si>
    <t>Needle Case</t>
  </si>
  <si>
    <t>Perfume</t>
  </si>
  <si>
    <t>Pouch of Spices</t>
  </si>
  <si>
    <t>Silk Shawl</t>
  </si>
  <si>
    <t>Silver Earrings</t>
  </si>
  <si>
    <t>Lunula</t>
  </si>
  <si>
    <t>Thimble</t>
  </si>
  <si>
    <t>Coverlet</t>
  </si>
  <si>
    <t>Deer Skull</t>
  </si>
  <si>
    <t>Moose Skull</t>
  </si>
  <si>
    <t>Wisent Skull</t>
  </si>
  <si>
    <t>Toy Sword</t>
  </si>
  <si>
    <t>Rag Doll</t>
  </si>
  <si>
    <t>Wooden Badger Figurine</t>
  </si>
  <si>
    <t>Wooden Bear Figurine</t>
  </si>
  <si>
    <t>Wooden Bird Figurine</t>
  </si>
  <si>
    <t>Wooden Rabbit Figurine</t>
  </si>
  <si>
    <t>Wooden Wolf Figurine</t>
  </si>
  <si>
    <t>Wooden Deer Figurine</t>
  </si>
  <si>
    <t>Amber Figurine</t>
  </si>
  <si>
    <t>Astrolabe</t>
  </si>
  <si>
    <t>Decorated Beer Mug</t>
  </si>
  <si>
    <t>Cloak Brooch</t>
  </si>
  <si>
    <t>Dice Set</t>
  </si>
  <si>
    <t>Drinking Horn</t>
  </si>
  <si>
    <t>Fang Necklace</t>
  </si>
  <si>
    <t>Folding Scales</t>
  </si>
  <si>
    <t>Hard Soap</t>
  </si>
  <si>
    <t>Hnefatafl</t>
  </si>
  <si>
    <t>Ivory Knife</t>
  </si>
  <si>
    <t>Leather Bracelet</t>
  </si>
  <si>
    <t>Lodestone</t>
  </si>
  <si>
    <t>Mastic Gum</t>
  </si>
  <si>
    <t>Olive Oil</t>
  </si>
  <si>
    <t>Ornate Toolbox</t>
  </si>
  <si>
    <t>Pan Flute</t>
  </si>
  <si>
    <t>Pipe</t>
  </si>
  <si>
    <t>Sesame-honey Bar</t>
  </si>
  <si>
    <t>Utility Belt</t>
  </si>
  <si>
    <t>Iron Crossbow</t>
  </si>
  <si>
    <t>Hand Lantern</t>
  </si>
  <si>
    <t>Iron Spear</t>
  </si>
  <si>
    <t>Iron Hammer</t>
  </si>
  <si>
    <t>Iron Knife</t>
  </si>
  <si>
    <t>Iron Axe</t>
  </si>
  <si>
    <t>Iron Hoe</t>
  </si>
  <si>
    <t>Iron Shovel</t>
  </si>
  <si>
    <t>Iron Sickle</t>
  </si>
  <si>
    <t>Iron Scythe</t>
  </si>
  <si>
    <t>Iron Pickaxe</t>
  </si>
  <si>
    <t>Iron Shearing Scissors</t>
  </si>
  <si>
    <t>Elite Shield</t>
  </si>
  <si>
    <t>Elite Sword</t>
  </si>
  <si>
    <t>Elite Mace</t>
  </si>
  <si>
    <t>Elite Pick</t>
  </si>
  <si>
    <t>Exquisite Sword</t>
  </si>
  <si>
    <t>The Silencing Wind</t>
  </si>
  <si>
    <t>Fine Tunic</t>
  </si>
  <si>
    <t>Light Tunic</t>
  </si>
  <si>
    <t>Warm Coat</t>
  </si>
  <si>
    <t>Rich Coat</t>
  </si>
  <si>
    <t>Excellent Gambeson</t>
  </si>
  <si>
    <t>Fine Hose</t>
  </si>
  <si>
    <t>Noble Hose</t>
  </si>
  <si>
    <t>Fine Hat</t>
  </si>
  <si>
    <t>Noble Hat</t>
  </si>
  <si>
    <t>Rich Hat</t>
  </si>
  <si>
    <t>Warm Hat</t>
  </si>
  <si>
    <t>Light Hat</t>
  </si>
  <si>
    <t>Thick Coif</t>
  </si>
  <si>
    <t>Warm Shawl</t>
  </si>
  <si>
    <t>Fine Hood</t>
  </si>
  <si>
    <t>Rich Hood</t>
  </si>
  <si>
    <t>Thick Gloves</t>
  </si>
  <si>
    <t>Warm Boots</t>
  </si>
  <si>
    <t>Light Shoes</t>
  </si>
  <si>
    <t>Nobles Shoes</t>
  </si>
  <si>
    <t>Excellent Boots</t>
  </si>
  <si>
    <t>Pouch</t>
  </si>
  <si>
    <t>Large Pouch</t>
  </si>
  <si>
    <t>Simple Backpack</t>
  </si>
  <si>
    <t>Simple Large Backpack</t>
  </si>
  <si>
    <t>Saddlebag</t>
  </si>
  <si>
    <t>Large Saddlebag</t>
  </si>
  <si>
    <t>Iron Horseshoes</t>
  </si>
  <si>
    <t>Ornate Saddle</t>
  </si>
  <si>
    <t>Noble Hood</t>
  </si>
  <si>
    <t>Noble Tunic</t>
  </si>
  <si>
    <t>Noble Dress</t>
  </si>
  <si>
    <t>Elite Armour</t>
  </si>
  <si>
    <t>Elite Bracers</t>
  </si>
  <si>
    <t>Elite Helmet</t>
  </si>
  <si>
    <t>Elite Greaves</t>
  </si>
  <si>
    <t>Elite Legwear</t>
  </si>
  <si>
    <t>Fine Dress</t>
  </si>
  <si>
    <t>Elite Collar</t>
  </si>
  <si>
    <t>Thick Gambeson</t>
  </si>
  <si>
    <t>Thick Boots</t>
  </si>
  <si>
    <t>Rich Gloves</t>
  </si>
  <si>
    <t>Rich Trousers</t>
  </si>
  <si>
    <t>Rich Boots</t>
  </si>
  <si>
    <t>Excellent Collar</t>
  </si>
  <si>
    <t>Excellent Gloves</t>
  </si>
  <si>
    <t>Excellent Coif</t>
  </si>
  <si>
    <t>Fine Shoes</t>
  </si>
  <si>
    <t>Light Dress</t>
  </si>
  <si>
    <t>Light Trousers</t>
  </si>
  <si>
    <t>Warm Gloves</t>
  </si>
  <si>
    <t>Warm Trousers</t>
  </si>
  <si>
    <t>Exquisite Tunic</t>
  </si>
  <si>
    <t>Exquisite Dress</t>
  </si>
  <si>
    <t>Exquisite Trousers</t>
  </si>
  <si>
    <t>Exquisite Boots</t>
  </si>
  <si>
    <t>Exquisite Shoes</t>
  </si>
  <si>
    <t>Seamster's Hat</t>
  </si>
  <si>
    <t>Seamster's Hose</t>
  </si>
  <si>
    <t>Seamster's Doublet</t>
  </si>
  <si>
    <t>Blacksmith's Coif</t>
  </si>
  <si>
    <t>Blacksmith's Gloves</t>
  </si>
  <si>
    <t>Blacksmith's Trousers</t>
  </si>
  <si>
    <t>Cook's Hat</t>
  </si>
  <si>
    <t>Cook's Apron</t>
  </si>
  <si>
    <t>Cook's Trousers</t>
  </si>
  <si>
    <t>Unripe Berry</t>
  </si>
  <si>
    <t>Apple</t>
  </si>
  <si>
    <t>Pear</t>
  </si>
  <si>
    <t>Plum</t>
  </si>
  <si>
    <t>Cherry</t>
  </si>
  <si>
    <t>Honeycomb</t>
  </si>
  <si>
    <t>Bitter Bolete Mushroom</t>
  </si>
  <si>
    <t>Fly Agaric Mushroom</t>
  </si>
  <si>
    <t>Wooly Milkcap Mushroom</t>
  </si>
  <si>
    <t>Morel Mushroom</t>
  </si>
  <si>
    <t>Bucket of Water</t>
  </si>
  <si>
    <t>Cheese</t>
  </si>
  <si>
    <t>Oat Roll</t>
  </si>
  <si>
    <t>Rye Bread</t>
  </si>
  <si>
    <t>Wheat Bread</t>
  </si>
  <si>
    <t>Multigrain Bread</t>
  </si>
  <si>
    <t>White Bread</t>
  </si>
  <si>
    <t>Wheat Roll</t>
  </si>
  <si>
    <t>Fish Tart</t>
  </si>
  <si>
    <t>Fruit Tart</t>
  </si>
  <si>
    <t>Meat Tart</t>
  </si>
  <si>
    <t>Pear Tart</t>
  </si>
  <si>
    <t>Plum Tart</t>
  </si>
  <si>
    <t>Meat Pie</t>
  </si>
  <si>
    <t>Fruit Pie</t>
  </si>
  <si>
    <t>Cherry Pie</t>
  </si>
  <si>
    <t>Poppy Seed Pie</t>
  </si>
  <si>
    <t>Porridge with Apple</t>
  </si>
  <si>
    <t>Porridge with Berries</t>
  </si>
  <si>
    <t>Scrambled Eggs with Mushroom</t>
  </si>
  <si>
    <t>Vegetable Soup</t>
  </si>
  <si>
    <t>Berry Juice</t>
  </si>
  <si>
    <t>Apple Juice</t>
  </si>
  <si>
    <t>Cherry Juice</t>
  </si>
  <si>
    <t>Pear Juice</t>
  </si>
  <si>
    <t>Plum Juice</t>
  </si>
  <si>
    <t>Berry Wine</t>
  </si>
  <si>
    <t>Apple Wine</t>
  </si>
  <si>
    <t>Cherry Wine</t>
  </si>
  <si>
    <t>Pear Wine</t>
  </si>
  <si>
    <t>Plum Wine</t>
  </si>
  <si>
    <t>Mead</t>
  </si>
  <si>
    <t>Oat Ale</t>
  </si>
  <si>
    <t>Oat Beer</t>
  </si>
  <si>
    <t>Rye Beer</t>
  </si>
  <si>
    <t>Wheat Beer</t>
  </si>
  <si>
    <t>Potion of Instant Healing II</t>
  </si>
  <si>
    <t>Potion of Healing II</t>
  </si>
  <si>
    <t>Potion of Health</t>
  </si>
  <si>
    <t>Potion of Satiety</t>
  </si>
  <si>
    <t>Potion of Sobriety</t>
  </si>
  <si>
    <t>Potion of Cure</t>
  </si>
  <si>
    <t>Potion of Night Vision</t>
  </si>
  <si>
    <t>Potion of Possibilities</t>
  </si>
  <si>
    <t>Potion of Camouflage</t>
  </si>
  <si>
    <t>Lavender Honey</t>
  </si>
  <si>
    <t>Green Egg</t>
  </si>
  <si>
    <t>Red Egg</t>
  </si>
  <si>
    <t>Blue Egg</t>
  </si>
  <si>
    <t>Yellow Egg</t>
  </si>
  <si>
    <t>Black Egg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</si>
</sst>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3" fontId="1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2" fontId="1" fillId="0" borderId="0" xfId="0" applyNumberFormat="1" applyFont="1" applyFill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3" fontId="1" fillId="0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5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</font>
      <fill>
        <patternFill>
          <bgColor theme="3" tint="0.749961851863155"/>
        </patternFill>
      </fill>
    </dxf>
    <dxf>
      <font>
        <b val="0"/>
        <i/>
        <color theme="0" tint="-0.499984740745262"/>
      </font>
    </dxf>
    <dxf>
      <font>
        <b/>
        <i val="0"/>
      </font>
      <fill>
        <patternFill>
          <bgColor theme="3" tint="0.749961851863155"/>
        </patternFill>
      </fill>
    </dxf>
    <dxf>
      <font>
        <b val="0"/>
        <i/>
        <color theme="0" tint="-0.499984740745262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theme="3" tint="0.749961851863155"/>
        </patternFill>
      </fill>
    </dxf>
    <dxf>
      <font>
        <b val="0"/>
        <i/>
        <color theme="0" tint="-0.499984740745262"/>
      </font>
    </dxf>
    <dxf>
      <font>
        <b/>
        <i val="0"/>
      </font>
      <fill>
        <patternFill>
          <bgColor theme="3" tint="0.749961851863155"/>
        </patternFill>
      </fill>
    </dxf>
    <dxf>
      <font>
        <b val="0"/>
        <i/>
        <color theme="0" tint="-0.499984740745262"/>
      </font>
    </dxf>
    <dxf>
      <font>
        <b/>
        <i val="0"/>
      </font>
      <fill>
        <patternFill>
          <bgColor theme="3" tint="0.749961851863155"/>
        </patternFill>
      </fill>
    </dxf>
    <dxf>
      <font>
        <b val="0"/>
        <i/>
        <color theme="0" tint="-0.499984740745262"/>
      </font>
    </dxf>
    <dxf>
      <font>
        <b/>
        <i val="0"/>
      </font>
      <fill>
        <patternFill>
          <bgColor theme="3" tint="0.749961851863155"/>
        </patternFill>
      </fill>
    </dxf>
    <dxf>
      <font>
        <b val="0"/>
        <i/>
        <color theme="0" tint="-0.499984740745262"/>
      </font>
    </dxf>
    <dxf>
      <font>
        <b/>
        <i val="0"/>
        <color theme="0"/>
      </font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" formatCode="#,##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" formatCode="#,##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#,##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theme="0" tint="-0.14999847407452621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#,##0.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95EBB3D-7012-4FD5-BFC4-A25CBBA9A8F0}" name="items" displayName="items" ref="B5:E462" totalsRowShown="0" headerRowDxfId="49" dataDxfId="48">
  <autoFilter ref="B5:E462" xr:uid="{795EBB3D-7012-4FD5-BFC4-A25CBBA9A8F0}"/>
  <sortState xmlns:xlrd2="http://schemas.microsoft.com/office/spreadsheetml/2017/richdata2" ref="B6:E462">
    <sortCondition ref="B5:B462"/>
  </sortState>
  <tableColumns count="4">
    <tableColumn id="1" xr3:uid="{16F1DB03-912F-4901-9D4C-B76869D69D2A}" name="Name" dataDxfId="47"/>
    <tableColumn id="2" xr3:uid="{A0946F62-FA08-4312-BFCC-2E788FD7EC46}" name="Category" dataDxfId="31"/>
    <tableColumn id="3" xr3:uid="{26493CD4-4B09-474E-BEF6-7B37782043C5}" name="Weight" dataDxfId="24"/>
    <tableColumn id="4" xr3:uid="{CE7B21A7-F6AF-4122-8606-811792E9638C}" name="Price" dataDxfId="25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0E4D76-6EEE-4CE5-924D-95F203BD024C}" name="item_categories" displayName="item_categories" ref="G5:G10" totalsRowShown="0" headerRowDxfId="46" dataDxfId="45">
  <autoFilter ref="G5:G10" xr:uid="{4E0E4D76-6EEE-4CE5-924D-95F203BD024C}"/>
  <tableColumns count="1">
    <tableColumn id="1" xr3:uid="{E5416548-876A-40B2-90A1-92FF5C63B85D}" name="Name" dataDxfId="44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E2D24C1-26AE-43B3-A8A3-7853008536E2}" name="recipes" displayName="recipes" ref="H7:I18" totalsRowShown="0" headerRowDxfId="53" dataDxfId="52">
  <autoFilter ref="H7:I18" xr:uid="{5E2D24C1-26AE-43B3-A8A3-7853008536E2}"/>
  <sortState xmlns:xlrd2="http://schemas.microsoft.com/office/spreadsheetml/2017/richdata2" ref="H8:N152">
    <sortCondition ref="H7:H152"/>
  </sortState>
  <tableColumns count="2">
    <tableColumn id="1" xr3:uid="{64E13A54-4029-4661-A077-0A4B4F09BBB1}" name="ID" dataDxfId="32"/>
    <tableColumn id="2" xr3:uid="{9C71A046-C572-4D51-BCAD-31561431D217}" name="Crafting time" dataDxfId="33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412FF9C-197B-41B9-85D9-DE20F40B2042}" name="recipe_inputs" displayName="recipe_inputs" ref="K7:M24" totalsRowShown="0" headerRowDxfId="30" dataDxfId="29">
  <autoFilter ref="K7:M24" xr:uid="{1412FF9C-197B-41B9-85D9-DE20F40B2042}"/>
  <sortState xmlns:xlrd2="http://schemas.microsoft.com/office/spreadsheetml/2017/richdata2" ref="K8:M299">
    <sortCondition ref="M7:M299"/>
  </sortState>
  <tableColumns count="3">
    <tableColumn id="1" xr3:uid="{685ECBF0-5BEB-438F-BD2E-3587D5626A52}" name="Item" dataDxfId="28"/>
    <tableColumn id="2" xr3:uid="{A989F325-2FFB-4786-BBD7-407FEA311CD5}" name="Quantity" dataDxfId="27"/>
    <tableColumn id="3" xr3:uid="{E632393B-1C5E-4033-A59B-CC57DC2E89C2}" name="Recipe ID" dataDxfId="26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F49C7F1-03C5-4A74-94B9-D2EE0C863513}" name="recipe_outputs" displayName="recipe_outputs" ref="O7:Q18" totalsRowShown="0" headerRowDxfId="51" dataDxfId="50">
  <autoFilter ref="O7:Q18" xr:uid="{5F49C7F1-03C5-4A74-94B9-D2EE0C863513}"/>
  <sortState xmlns:xlrd2="http://schemas.microsoft.com/office/spreadsheetml/2017/richdata2" ref="O8:Q155">
    <sortCondition ref="Q7:Q155"/>
  </sortState>
  <tableColumns count="3">
    <tableColumn id="1" xr3:uid="{6CD8EBA4-25A6-4B94-847C-B61C7C4AC5F1}" name="Item" dataDxfId="2"/>
    <tableColumn id="2" xr3:uid="{2A0BD0A6-AE1E-40A4-B5A2-6364BC3BF066}" name="Quantity" dataDxfId="0"/>
    <tableColumn id="3" xr3:uid="{077176E3-9DB0-474A-9338-A1670A1E089E}" name="Recipe ID" dataDxfId="1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C7FF82-D686-48F2-A64D-79FAD27DF938}" name="recipe_schemes" displayName="recipe_schemes" ref="B7:F286" totalsRowShown="0" headerRowDxfId="23" dataDxfId="22">
  <autoFilter ref="B7:F286" xr:uid="{93C7FF82-D686-48F2-A64D-79FAD27DF938}"/>
  <tableColumns count="5">
    <tableColumn id="1" xr3:uid="{4E821067-ABA5-4BF7-977D-9F0534745AE4}" name="ID" dataDxfId="21"/>
    <tableColumn id="5" xr3:uid="{F20FFFCC-D0C6-4EAC-9A1D-9610323C1E22}" name="Item" dataDxfId="20"/>
    <tableColumn id="2" xr3:uid="{D37C7638-41F9-4D52-8CDA-8C7D02C15646}" name="Tech Tree" dataDxfId="19"/>
    <tableColumn id="3" xr3:uid="{BCE3338D-F007-4117-9C8F-BAE3B70B27CA}" name="Tech Points" dataDxfId="18"/>
    <tableColumn id="4" xr3:uid="{865F7381-1E85-40D3-B591-EC498F1961B3}" name="Unlock Cost" dataDxfId="17"/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A33ADD-6F6B-42E2-8A13-394CC5A539C4}" name="tech_trees" displayName="tech_trees" ref="B5:D9" totalsRowShown="0" headerRowDxfId="43" dataDxfId="42">
  <autoFilter ref="B5:D9" xr:uid="{66A33ADD-6F6B-42E2-8A13-394CC5A539C4}"/>
  <sortState xmlns:xlrd2="http://schemas.microsoft.com/office/spreadsheetml/2017/richdata2" ref="B6:B9">
    <sortCondition ref="B5:B9"/>
  </sortState>
  <tableColumns count="3">
    <tableColumn id="1" xr3:uid="{ADFE0204-8272-45C1-8E6E-779722B4CD0A}" name="Name" dataDxfId="41"/>
    <tableColumn id="2" xr3:uid="{169B152F-C625-4076-B184-36DC587497E6}" name="Max Points" dataDxfId="40">
      <calculatedColumnFormula>_xlfn.MAXIFS(buildings[Tech Tree Points],buildings[Tech Tree],tech_trees[[#This Row],[Name]])</calculatedColumnFormula>
    </tableColumn>
    <tableColumn id="3" xr3:uid="{D4482310-BA96-449C-BCA2-939287CA8509}" name="Current Points" dataDxfId="39"/>
  </tableColumns>
  <tableStyleInfo name="TableStyleMedium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A632DF-CAE0-42FF-BFEF-2093724E804C}" name="buildings" displayName="buildings" ref="B5:D51" totalsRowShown="0" headerRowDxfId="38" dataDxfId="37">
  <autoFilter ref="B5:D51" xr:uid="{13A632DF-CAE0-42FF-BFEF-2093724E804C}"/>
  <tableColumns count="3">
    <tableColumn id="1" xr3:uid="{45AA21D0-C49A-45EC-A229-E6C5918309E1}" name="Name" dataDxfId="36"/>
    <tableColumn id="2" xr3:uid="{CD7BB829-6906-4198-8110-4ABEED60ECB9}" name="Tech Tree" dataDxfId="35"/>
    <tableColumn id="3" xr3:uid="{22EFF6B5-F288-4692-951E-58BB8F18A2A9}" name="Tech Tree Points" dataDxfId="34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79559-D172-45AD-B0D5-5F8777F5001A}">
  <dimension ref="B3:G462"/>
  <sheetViews>
    <sheetView topLeftCell="A82" workbookViewId="0">
      <selection activeCell="C91" sqref="C91"/>
    </sheetView>
  </sheetViews>
  <sheetFormatPr defaultColWidth="16.7109375" defaultRowHeight="30" customHeight="1" x14ac:dyDescent="0.25"/>
  <cols>
    <col min="1" max="1" width="16.7109375" style="1" customWidth="1"/>
    <col min="2" max="2" width="32.7109375" style="1" customWidth="1"/>
    <col min="3" max="4" width="16.7109375" style="3"/>
    <col min="5" max="16384" width="16.7109375" style="1"/>
  </cols>
  <sheetData>
    <row r="3" spans="2:7" ht="30" customHeight="1" x14ac:dyDescent="0.25">
      <c r="B3" s="2" t="s">
        <v>0</v>
      </c>
      <c r="G3" s="2" t="s">
        <v>115</v>
      </c>
    </row>
    <row r="5" spans="2:7" ht="30" customHeight="1" x14ac:dyDescent="0.25">
      <c r="B5" s="1" t="s">
        <v>2</v>
      </c>
      <c r="C5" s="6" t="s">
        <v>121</v>
      </c>
      <c r="D5" s="1" t="s">
        <v>4</v>
      </c>
      <c r="E5" s="1" t="s">
        <v>3</v>
      </c>
      <c r="G5" s="1" t="s">
        <v>2</v>
      </c>
    </row>
    <row r="6" spans="2:7" ht="30" customHeight="1" x14ac:dyDescent="0.25">
      <c r="B6" s="9" t="s">
        <v>372</v>
      </c>
      <c r="C6" s="9" t="s">
        <v>120</v>
      </c>
      <c r="D6" s="12">
        <v>0.09</v>
      </c>
      <c r="E6" s="15">
        <v>750</v>
      </c>
      <c r="G6" s="1" t="s">
        <v>116</v>
      </c>
    </row>
    <row r="7" spans="2:7" ht="30" customHeight="1" x14ac:dyDescent="0.25">
      <c r="B7" s="9" t="s">
        <v>341</v>
      </c>
      <c r="C7" s="9" t="s">
        <v>120</v>
      </c>
      <c r="D7" s="12">
        <v>7.0000000000000007E-2</v>
      </c>
      <c r="E7" s="15">
        <v>500</v>
      </c>
      <c r="G7" s="1" t="s">
        <v>117</v>
      </c>
    </row>
    <row r="8" spans="2:7" ht="30" customHeight="1" x14ac:dyDescent="0.25">
      <c r="B8" s="9" t="s">
        <v>110</v>
      </c>
      <c r="C8" s="1" t="s">
        <v>119</v>
      </c>
      <c r="D8" s="12">
        <v>0.2</v>
      </c>
      <c r="E8" s="15">
        <v>16</v>
      </c>
      <c r="G8" s="1" t="s">
        <v>118</v>
      </c>
    </row>
    <row r="9" spans="2:7" ht="30" customHeight="1" x14ac:dyDescent="0.25">
      <c r="B9" s="9" t="s">
        <v>477</v>
      </c>
      <c r="C9" s="9" t="s">
        <v>118</v>
      </c>
      <c r="D9" s="12">
        <v>0.09</v>
      </c>
      <c r="E9" s="15">
        <v>4</v>
      </c>
      <c r="G9" s="1" t="s">
        <v>119</v>
      </c>
    </row>
    <row r="10" spans="2:7" ht="30" customHeight="1" x14ac:dyDescent="0.25">
      <c r="B10" s="9" t="s">
        <v>508</v>
      </c>
      <c r="C10" s="9" t="s">
        <v>118</v>
      </c>
      <c r="D10" s="12">
        <v>1</v>
      </c>
      <c r="E10" s="15">
        <v>60</v>
      </c>
      <c r="G10" s="1" t="s">
        <v>120</v>
      </c>
    </row>
    <row r="11" spans="2:7" ht="30" customHeight="1" x14ac:dyDescent="0.25">
      <c r="B11" s="9" t="s">
        <v>308</v>
      </c>
      <c r="C11" s="1" t="s">
        <v>119</v>
      </c>
      <c r="D11" s="12">
        <v>1</v>
      </c>
      <c r="E11" s="15">
        <v>13</v>
      </c>
    </row>
    <row r="12" spans="2:7" ht="30" customHeight="1" x14ac:dyDescent="0.25">
      <c r="B12" s="9" t="s">
        <v>513</v>
      </c>
      <c r="C12" s="9" t="s">
        <v>118</v>
      </c>
      <c r="D12" s="12">
        <v>1</v>
      </c>
      <c r="E12" s="15">
        <v>140</v>
      </c>
    </row>
    <row r="13" spans="2:7" ht="30" customHeight="1" x14ac:dyDescent="0.25">
      <c r="B13" s="9" t="s">
        <v>28</v>
      </c>
      <c r="C13" s="1" t="s">
        <v>119</v>
      </c>
      <c r="D13" s="12">
        <v>0.01</v>
      </c>
      <c r="E13" s="15">
        <v>0.2</v>
      </c>
    </row>
    <row r="14" spans="2:7" ht="30" customHeight="1" x14ac:dyDescent="0.25">
      <c r="B14" s="9" t="s">
        <v>373</v>
      </c>
      <c r="C14" s="9" t="s">
        <v>120</v>
      </c>
      <c r="D14" s="12">
        <v>0.4</v>
      </c>
      <c r="E14" s="15">
        <v>500</v>
      </c>
    </row>
    <row r="15" spans="2:7" ht="30" customHeight="1" x14ac:dyDescent="0.25">
      <c r="B15" s="9" t="s">
        <v>239</v>
      </c>
      <c r="C15" s="9" t="s">
        <v>116</v>
      </c>
      <c r="D15" s="12">
        <v>0.5</v>
      </c>
      <c r="E15" s="15">
        <v>190</v>
      </c>
    </row>
    <row r="16" spans="2:7" ht="30" customHeight="1" x14ac:dyDescent="0.25">
      <c r="B16" s="9" t="s">
        <v>250</v>
      </c>
      <c r="C16" s="9" t="s">
        <v>117</v>
      </c>
      <c r="D16" s="12">
        <v>0.2</v>
      </c>
      <c r="E16" s="15">
        <v>160</v>
      </c>
    </row>
    <row r="17" spans="2:5" ht="30" customHeight="1" x14ac:dyDescent="0.25">
      <c r="B17" s="9" t="s">
        <v>243</v>
      </c>
      <c r="C17" s="9" t="s">
        <v>117</v>
      </c>
      <c r="D17" s="12">
        <v>0.25</v>
      </c>
      <c r="E17" s="15">
        <v>300</v>
      </c>
    </row>
    <row r="18" spans="2:5" ht="30" customHeight="1" x14ac:dyDescent="0.25">
      <c r="B18" s="9" t="s">
        <v>252</v>
      </c>
      <c r="C18" s="9" t="s">
        <v>117</v>
      </c>
      <c r="D18" s="12">
        <v>0.15</v>
      </c>
      <c r="E18" s="15">
        <v>270</v>
      </c>
    </row>
    <row r="19" spans="2:5" ht="30" customHeight="1" x14ac:dyDescent="0.25">
      <c r="B19" s="9" t="s">
        <v>246</v>
      </c>
      <c r="C19" s="9" t="s">
        <v>117</v>
      </c>
      <c r="D19" s="12">
        <v>0.3</v>
      </c>
      <c r="E19" s="15">
        <v>300</v>
      </c>
    </row>
    <row r="20" spans="2:5" ht="30" customHeight="1" x14ac:dyDescent="0.25">
      <c r="B20" s="9" t="s">
        <v>316</v>
      </c>
      <c r="C20" s="1" t="s">
        <v>119</v>
      </c>
      <c r="D20" s="12">
        <v>0.3</v>
      </c>
      <c r="E20" s="15">
        <v>6</v>
      </c>
    </row>
    <row r="21" spans="2:5" ht="30" customHeight="1" x14ac:dyDescent="0.25">
      <c r="B21" s="9" t="s">
        <v>195</v>
      </c>
      <c r="C21" s="9" t="s">
        <v>118</v>
      </c>
      <c r="D21" s="12">
        <v>0.15</v>
      </c>
      <c r="E21" s="15">
        <v>3</v>
      </c>
    </row>
    <row r="22" spans="2:5" ht="30" customHeight="1" x14ac:dyDescent="0.25">
      <c r="B22" s="9" t="s">
        <v>196</v>
      </c>
      <c r="C22" s="1" t="s">
        <v>119</v>
      </c>
      <c r="D22" s="12">
        <v>0.01</v>
      </c>
      <c r="E22" s="15">
        <v>5</v>
      </c>
    </row>
    <row r="23" spans="2:5" ht="30" customHeight="1" x14ac:dyDescent="0.25">
      <c r="B23" s="9" t="s">
        <v>173</v>
      </c>
      <c r="C23" s="9" t="s">
        <v>118</v>
      </c>
      <c r="D23" s="12">
        <v>0.05</v>
      </c>
      <c r="E23" s="15">
        <v>0.2</v>
      </c>
    </row>
    <row r="24" spans="2:5" ht="30" customHeight="1" x14ac:dyDescent="0.25">
      <c r="B24" s="9" t="s">
        <v>507</v>
      </c>
      <c r="C24" s="9" t="s">
        <v>118</v>
      </c>
      <c r="D24" s="12">
        <v>1</v>
      </c>
      <c r="E24" s="15">
        <v>23</v>
      </c>
    </row>
    <row r="25" spans="2:5" ht="30" customHeight="1" x14ac:dyDescent="0.25">
      <c r="B25" s="9" t="s">
        <v>512</v>
      </c>
      <c r="C25" s="9" t="s">
        <v>118</v>
      </c>
      <c r="D25" s="12">
        <v>1</v>
      </c>
      <c r="E25" s="15">
        <v>60</v>
      </c>
    </row>
    <row r="26" spans="2:5" ht="30" customHeight="1" x14ac:dyDescent="0.25">
      <c r="B26" s="9" t="s">
        <v>333</v>
      </c>
      <c r="C26" s="1" t="s">
        <v>119</v>
      </c>
      <c r="D26" s="12">
        <v>1</v>
      </c>
      <c r="E26" s="15">
        <v>20</v>
      </c>
    </row>
    <row r="27" spans="2:5" ht="30" customHeight="1" x14ac:dyDescent="0.25">
      <c r="B27" s="9" t="s">
        <v>482</v>
      </c>
      <c r="C27" s="9" t="s">
        <v>118</v>
      </c>
      <c r="D27" s="12">
        <v>0.1</v>
      </c>
      <c r="E27" s="15">
        <v>0.6</v>
      </c>
    </row>
    <row r="28" spans="2:5" ht="30" customHeight="1" x14ac:dyDescent="0.25">
      <c r="B28" s="9" t="s">
        <v>323</v>
      </c>
      <c r="C28" s="1" t="s">
        <v>119</v>
      </c>
      <c r="D28" s="12">
        <v>0.1</v>
      </c>
      <c r="E28" s="15">
        <v>150</v>
      </c>
    </row>
    <row r="29" spans="2:5" ht="30" customHeight="1" x14ac:dyDescent="0.25">
      <c r="B29" s="9" t="s">
        <v>536</v>
      </c>
      <c r="C29" s="9" t="s">
        <v>118</v>
      </c>
      <c r="D29" s="12">
        <v>0.05</v>
      </c>
      <c r="E29" s="15">
        <v>10</v>
      </c>
    </row>
    <row r="30" spans="2:5" ht="30" customHeight="1" x14ac:dyDescent="0.25">
      <c r="B30" s="9" t="s">
        <v>293</v>
      </c>
      <c r="C30" s="9" t="s">
        <v>117</v>
      </c>
      <c r="D30" s="12">
        <v>0.5</v>
      </c>
      <c r="E30" s="15">
        <v>660</v>
      </c>
    </row>
    <row r="31" spans="2:5" ht="30" customHeight="1" x14ac:dyDescent="0.25">
      <c r="B31" s="9" t="s">
        <v>256</v>
      </c>
      <c r="C31" s="9" t="s">
        <v>117</v>
      </c>
      <c r="D31" s="12">
        <v>1</v>
      </c>
      <c r="E31" s="15">
        <v>900</v>
      </c>
    </row>
    <row r="32" spans="2:5" ht="30" customHeight="1" x14ac:dyDescent="0.25">
      <c r="B32" s="9" t="s">
        <v>470</v>
      </c>
      <c r="C32" s="9" t="s">
        <v>117</v>
      </c>
      <c r="D32" s="12">
        <v>0.05</v>
      </c>
      <c r="E32" s="15">
        <v>500</v>
      </c>
    </row>
    <row r="33" spans="2:5" ht="30" customHeight="1" x14ac:dyDescent="0.25">
      <c r="B33" s="9" t="s">
        <v>471</v>
      </c>
      <c r="C33" s="9" t="s">
        <v>117</v>
      </c>
      <c r="D33" s="12">
        <v>0.15</v>
      </c>
      <c r="E33" s="15">
        <v>450</v>
      </c>
    </row>
    <row r="34" spans="2:5" ht="30" customHeight="1" x14ac:dyDescent="0.25">
      <c r="B34" s="9" t="s">
        <v>472</v>
      </c>
      <c r="C34" s="9" t="s">
        <v>117</v>
      </c>
      <c r="D34" s="12">
        <v>0.3</v>
      </c>
      <c r="E34" s="15">
        <v>760</v>
      </c>
    </row>
    <row r="35" spans="2:5" ht="30" customHeight="1" x14ac:dyDescent="0.25">
      <c r="B35" s="9" t="s">
        <v>319</v>
      </c>
      <c r="C35" s="1" t="s">
        <v>119</v>
      </c>
      <c r="D35" s="12">
        <v>0.1</v>
      </c>
      <c r="E35" s="15">
        <v>23</v>
      </c>
    </row>
    <row r="36" spans="2:5" ht="30" customHeight="1" x14ac:dyDescent="0.25">
      <c r="B36" s="9" t="s">
        <v>534</v>
      </c>
      <c r="C36" s="9" t="s">
        <v>118</v>
      </c>
      <c r="D36" s="12">
        <v>0.05</v>
      </c>
      <c r="E36" s="15">
        <v>10</v>
      </c>
    </row>
    <row r="37" spans="2:5" ht="30" customHeight="1" x14ac:dyDescent="0.25">
      <c r="B37" s="9" t="s">
        <v>197</v>
      </c>
      <c r="C37" s="9" t="s">
        <v>118</v>
      </c>
      <c r="D37" s="12">
        <v>0.1</v>
      </c>
      <c r="E37" s="15">
        <v>0.6</v>
      </c>
    </row>
    <row r="38" spans="2:5" ht="30" customHeight="1" x14ac:dyDescent="0.25">
      <c r="B38" s="9" t="s">
        <v>132</v>
      </c>
      <c r="C38" s="9" t="s">
        <v>116</v>
      </c>
      <c r="D38" s="12">
        <v>1.25</v>
      </c>
      <c r="E38" s="15">
        <v>170</v>
      </c>
    </row>
    <row r="39" spans="2:5" ht="30" customHeight="1" x14ac:dyDescent="0.25">
      <c r="B39" s="9" t="s">
        <v>155</v>
      </c>
      <c r="C39" s="9" t="s">
        <v>118</v>
      </c>
      <c r="D39" s="12">
        <v>0.01</v>
      </c>
      <c r="E39" s="15">
        <v>0.7</v>
      </c>
    </row>
    <row r="40" spans="2:5" ht="30" customHeight="1" x14ac:dyDescent="0.25">
      <c r="B40" s="9" t="s">
        <v>231</v>
      </c>
      <c r="C40" s="9" t="s">
        <v>117</v>
      </c>
      <c r="D40" s="12">
        <v>9</v>
      </c>
      <c r="E40" s="15">
        <v>2390</v>
      </c>
    </row>
    <row r="41" spans="2:5" ht="30" customHeight="1" x14ac:dyDescent="0.25">
      <c r="B41" s="9" t="s">
        <v>164</v>
      </c>
      <c r="C41" s="9" t="s">
        <v>116</v>
      </c>
      <c r="D41" s="12">
        <v>0.03</v>
      </c>
      <c r="E41" s="15">
        <v>32</v>
      </c>
    </row>
    <row r="42" spans="2:5" ht="30" customHeight="1" x14ac:dyDescent="0.25">
      <c r="B42" s="9" t="s">
        <v>270</v>
      </c>
      <c r="C42" s="9" t="s">
        <v>116</v>
      </c>
      <c r="D42" s="12">
        <v>3.5</v>
      </c>
      <c r="E42" s="15">
        <v>590</v>
      </c>
    </row>
    <row r="43" spans="2:5" ht="30" customHeight="1" x14ac:dyDescent="0.25">
      <c r="B43" s="9" t="s">
        <v>207</v>
      </c>
      <c r="C43" s="1" t="s">
        <v>119</v>
      </c>
      <c r="D43" s="12">
        <v>2</v>
      </c>
      <c r="E43" s="15">
        <v>140</v>
      </c>
    </row>
    <row r="44" spans="2:5" ht="30" customHeight="1" x14ac:dyDescent="0.25">
      <c r="B44" s="9" t="s">
        <v>227</v>
      </c>
      <c r="C44" s="9" t="s">
        <v>116</v>
      </c>
      <c r="D44" s="12">
        <v>2</v>
      </c>
      <c r="E44" s="15">
        <v>280</v>
      </c>
    </row>
    <row r="45" spans="2:5" ht="30" customHeight="1" x14ac:dyDescent="0.25">
      <c r="B45" s="9" t="s">
        <v>168</v>
      </c>
      <c r="C45" s="9" t="s">
        <v>116</v>
      </c>
      <c r="D45" s="12">
        <v>0.02</v>
      </c>
      <c r="E45" s="15">
        <v>32</v>
      </c>
    </row>
    <row r="46" spans="2:5" ht="30" customHeight="1" x14ac:dyDescent="0.25">
      <c r="B46" s="9" t="s">
        <v>232</v>
      </c>
      <c r="C46" s="9" t="s">
        <v>117</v>
      </c>
      <c r="D46" s="12">
        <v>3</v>
      </c>
      <c r="E46" s="15">
        <v>810</v>
      </c>
    </row>
    <row r="47" spans="2:5" ht="30" customHeight="1" x14ac:dyDescent="0.25">
      <c r="B47" s="9" t="s">
        <v>225</v>
      </c>
      <c r="C47" s="9" t="s">
        <v>116</v>
      </c>
      <c r="D47" s="12">
        <v>0.5</v>
      </c>
      <c r="E47" s="15">
        <v>150</v>
      </c>
    </row>
    <row r="48" spans="2:5" ht="30" customHeight="1" x14ac:dyDescent="0.25">
      <c r="B48" s="9" t="s">
        <v>234</v>
      </c>
      <c r="C48" s="9" t="s">
        <v>117</v>
      </c>
      <c r="D48" s="12">
        <v>3</v>
      </c>
      <c r="E48" s="15">
        <v>810</v>
      </c>
    </row>
    <row r="49" spans="2:5" ht="30" customHeight="1" x14ac:dyDescent="0.25">
      <c r="B49" s="9" t="s">
        <v>269</v>
      </c>
      <c r="C49" s="9" t="s">
        <v>116</v>
      </c>
      <c r="D49" s="12">
        <v>2</v>
      </c>
      <c r="E49" s="15">
        <v>290</v>
      </c>
    </row>
    <row r="50" spans="2:5" ht="30" customHeight="1" x14ac:dyDescent="0.25">
      <c r="B50" s="9" t="s">
        <v>230</v>
      </c>
      <c r="C50" s="9" t="s">
        <v>117</v>
      </c>
      <c r="D50" s="12">
        <v>3</v>
      </c>
      <c r="E50" s="15">
        <v>790</v>
      </c>
    </row>
    <row r="51" spans="2:5" ht="30" customHeight="1" x14ac:dyDescent="0.25">
      <c r="B51" s="9" t="s">
        <v>276</v>
      </c>
      <c r="C51" s="9" t="s">
        <v>116</v>
      </c>
      <c r="D51" s="12">
        <v>2</v>
      </c>
      <c r="E51" s="15">
        <v>290</v>
      </c>
    </row>
    <row r="52" spans="2:5" ht="30" customHeight="1" x14ac:dyDescent="0.25">
      <c r="B52" s="9" t="s">
        <v>281</v>
      </c>
      <c r="C52" s="9" t="s">
        <v>116</v>
      </c>
      <c r="D52" s="12">
        <v>0.5</v>
      </c>
      <c r="E52" s="15">
        <v>560</v>
      </c>
    </row>
    <row r="53" spans="2:5" ht="30" customHeight="1" x14ac:dyDescent="0.25">
      <c r="B53" s="9" t="s">
        <v>273</v>
      </c>
      <c r="C53" s="9" t="s">
        <v>116</v>
      </c>
      <c r="D53" s="12">
        <v>0.75</v>
      </c>
      <c r="E53" s="15">
        <v>300</v>
      </c>
    </row>
    <row r="54" spans="2:5" ht="30" customHeight="1" x14ac:dyDescent="0.25">
      <c r="B54" s="9" t="s">
        <v>233</v>
      </c>
      <c r="C54" s="9" t="s">
        <v>117</v>
      </c>
      <c r="D54" s="12">
        <v>6</v>
      </c>
      <c r="E54" s="15">
        <v>1570</v>
      </c>
    </row>
    <row r="55" spans="2:5" ht="30" customHeight="1" x14ac:dyDescent="0.25">
      <c r="B55" s="9" t="s">
        <v>229</v>
      </c>
      <c r="C55" s="9" t="s">
        <v>116</v>
      </c>
      <c r="D55" s="12">
        <v>1.5</v>
      </c>
      <c r="E55" s="15">
        <v>340</v>
      </c>
    </row>
    <row r="56" spans="2:5" ht="30" customHeight="1" x14ac:dyDescent="0.25">
      <c r="B56" s="9" t="s">
        <v>228</v>
      </c>
      <c r="C56" s="9" t="s">
        <v>116</v>
      </c>
      <c r="D56" s="12">
        <v>2</v>
      </c>
      <c r="E56" s="15">
        <v>340</v>
      </c>
    </row>
    <row r="57" spans="2:5" ht="30" customHeight="1" x14ac:dyDescent="0.25">
      <c r="B57" s="9" t="s">
        <v>271</v>
      </c>
      <c r="C57" s="9" t="s">
        <v>116</v>
      </c>
      <c r="D57" s="12">
        <v>5</v>
      </c>
      <c r="E57" s="15">
        <v>590</v>
      </c>
    </row>
    <row r="58" spans="2:5" ht="30" customHeight="1" x14ac:dyDescent="0.25">
      <c r="B58" s="9" t="s">
        <v>280</v>
      </c>
      <c r="C58" s="9" t="s">
        <v>116</v>
      </c>
      <c r="D58" s="12">
        <v>0.5</v>
      </c>
      <c r="E58" s="15">
        <v>450</v>
      </c>
    </row>
    <row r="59" spans="2:5" ht="30" customHeight="1" x14ac:dyDescent="0.25">
      <c r="B59" s="9" t="s">
        <v>275</v>
      </c>
      <c r="C59" s="9" t="s">
        <v>116</v>
      </c>
      <c r="D59" s="12">
        <v>4</v>
      </c>
      <c r="E59" s="15">
        <v>590</v>
      </c>
    </row>
    <row r="60" spans="2:5" ht="30" customHeight="1" x14ac:dyDescent="0.25">
      <c r="B60" s="9" t="s">
        <v>277</v>
      </c>
      <c r="C60" s="9" t="s">
        <v>116</v>
      </c>
      <c r="D60" s="12">
        <v>1</v>
      </c>
      <c r="E60" s="15">
        <v>150</v>
      </c>
    </row>
    <row r="61" spans="2:5" ht="30" customHeight="1" x14ac:dyDescent="0.25">
      <c r="B61" s="9" t="s">
        <v>272</v>
      </c>
      <c r="C61" s="9" t="s">
        <v>116</v>
      </c>
      <c r="D61" s="12">
        <v>3</v>
      </c>
      <c r="E61" s="15">
        <v>590</v>
      </c>
    </row>
    <row r="62" spans="2:5" ht="30" customHeight="1" x14ac:dyDescent="0.25">
      <c r="B62" s="9" t="s">
        <v>274</v>
      </c>
      <c r="C62" s="9" t="s">
        <v>116</v>
      </c>
      <c r="D62" s="12">
        <v>1.5</v>
      </c>
      <c r="E62" s="15">
        <v>300</v>
      </c>
    </row>
    <row r="63" spans="2:5" ht="30" customHeight="1" x14ac:dyDescent="0.25">
      <c r="B63" s="9" t="s">
        <v>278</v>
      </c>
      <c r="C63" s="9" t="s">
        <v>116</v>
      </c>
      <c r="D63" s="12">
        <v>2</v>
      </c>
      <c r="E63" s="15">
        <v>450</v>
      </c>
    </row>
    <row r="64" spans="2:5" ht="30" customHeight="1" x14ac:dyDescent="0.25">
      <c r="B64" s="9" t="s">
        <v>226</v>
      </c>
      <c r="C64" s="9" t="s">
        <v>116</v>
      </c>
      <c r="D64" s="12">
        <v>1.5</v>
      </c>
      <c r="E64" s="15">
        <v>290</v>
      </c>
    </row>
    <row r="65" spans="2:5" ht="30" customHeight="1" x14ac:dyDescent="0.25">
      <c r="B65" s="9" t="s">
        <v>98</v>
      </c>
      <c r="C65" s="9" t="s">
        <v>116</v>
      </c>
      <c r="D65" s="12">
        <v>2</v>
      </c>
      <c r="E65" s="15">
        <v>8</v>
      </c>
    </row>
    <row r="66" spans="2:5" ht="30" customHeight="1" x14ac:dyDescent="0.25">
      <c r="B66" s="9" t="s">
        <v>201</v>
      </c>
      <c r="C66" s="9" t="s">
        <v>118</v>
      </c>
      <c r="D66" s="12">
        <v>4</v>
      </c>
      <c r="E66" s="15">
        <v>68</v>
      </c>
    </row>
    <row r="67" spans="2:5" ht="30" customHeight="1" x14ac:dyDescent="0.25">
      <c r="B67" s="9" t="s">
        <v>202</v>
      </c>
      <c r="C67" s="9" t="s">
        <v>118</v>
      </c>
      <c r="D67" s="12">
        <v>4</v>
      </c>
      <c r="E67" s="15">
        <v>96</v>
      </c>
    </row>
    <row r="68" spans="2:5" ht="30" customHeight="1" x14ac:dyDescent="0.25">
      <c r="B68" s="9" t="s">
        <v>486</v>
      </c>
      <c r="C68" s="9" t="s">
        <v>118</v>
      </c>
      <c r="D68" s="12">
        <v>4</v>
      </c>
      <c r="E68" s="15">
        <v>9</v>
      </c>
    </row>
    <row r="69" spans="2:5" ht="30" customHeight="1" x14ac:dyDescent="0.25">
      <c r="B69" s="9" t="s">
        <v>191</v>
      </c>
      <c r="C69" s="9" t="s">
        <v>118</v>
      </c>
      <c r="D69" s="12">
        <v>0.2</v>
      </c>
      <c r="E69" s="15">
        <v>3</v>
      </c>
    </row>
    <row r="70" spans="2:5" ht="30" customHeight="1" x14ac:dyDescent="0.25">
      <c r="B70" s="9" t="s">
        <v>192</v>
      </c>
      <c r="C70" s="1" t="s">
        <v>119</v>
      </c>
      <c r="D70" s="12">
        <v>0.01</v>
      </c>
      <c r="E70" s="15">
        <v>5</v>
      </c>
    </row>
    <row r="71" spans="2:5" ht="30" customHeight="1" x14ac:dyDescent="0.25">
      <c r="B71" s="9" t="s">
        <v>193</v>
      </c>
      <c r="C71" s="9" t="s">
        <v>118</v>
      </c>
      <c r="D71" s="12">
        <v>0.1</v>
      </c>
      <c r="E71" s="15">
        <v>2</v>
      </c>
    </row>
    <row r="72" spans="2:5" ht="30" customHeight="1" x14ac:dyDescent="0.25">
      <c r="B72" s="9" t="s">
        <v>194</v>
      </c>
      <c r="C72" s="1" t="s">
        <v>119</v>
      </c>
      <c r="D72" s="12">
        <v>0.01</v>
      </c>
      <c r="E72" s="15">
        <v>5</v>
      </c>
    </row>
    <row r="73" spans="2:5" ht="30" customHeight="1" x14ac:dyDescent="0.25">
      <c r="B73" s="9" t="s">
        <v>487</v>
      </c>
      <c r="C73" s="9" t="s">
        <v>118</v>
      </c>
      <c r="D73" s="12">
        <v>0.2</v>
      </c>
      <c r="E73" s="15">
        <v>50</v>
      </c>
    </row>
    <row r="74" spans="2:5" ht="30" customHeight="1" x14ac:dyDescent="0.25">
      <c r="B74" s="9" t="s">
        <v>480</v>
      </c>
      <c r="C74" s="9" t="s">
        <v>118</v>
      </c>
      <c r="D74" s="12">
        <v>0.05</v>
      </c>
      <c r="E74" s="15">
        <v>3</v>
      </c>
    </row>
    <row r="75" spans="2:5" ht="30" customHeight="1" x14ac:dyDescent="0.25">
      <c r="B75" s="9" t="s">
        <v>509</v>
      </c>
      <c r="C75" s="9" t="s">
        <v>118</v>
      </c>
      <c r="D75" s="12">
        <v>1</v>
      </c>
      <c r="E75" s="15">
        <v>130</v>
      </c>
    </row>
    <row r="76" spans="2:5" ht="30" customHeight="1" x14ac:dyDescent="0.25">
      <c r="B76" s="9" t="s">
        <v>501</v>
      </c>
      <c r="C76" s="9" t="s">
        <v>118</v>
      </c>
      <c r="D76" s="12">
        <v>1</v>
      </c>
      <c r="E76" s="15">
        <v>150</v>
      </c>
    </row>
    <row r="77" spans="2:5" ht="30" customHeight="1" x14ac:dyDescent="0.25">
      <c r="B77" s="9" t="s">
        <v>310</v>
      </c>
      <c r="C77" s="1" t="s">
        <v>119</v>
      </c>
      <c r="D77" s="12">
        <v>1</v>
      </c>
      <c r="E77" s="15">
        <v>17</v>
      </c>
    </row>
    <row r="78" spans="2:5" ht="30" customHeight="1" x14ac:dyDescent="0.25">
      <c r="B78" s="9" t="s">
        <v>514</v>
      </c>
      <c r="C78" s="9" t="s">
        <v>118</v>
      </c>
      <c r="D78" s="12">
        <v>1</v>
      </c>
      <c r="E78" s="15">
        <v>310</v>
      </c>
    </row>
    <row r="79" spans="2:5" ht="30" customHeight="1" x14ac:dyDescent="0.25">
      <c r="B79" s="9" t="s">
        <v>157</v>
      </c>
      <c r="C79" s="9" t="s">
        <v>118</v>
      </c>
      <c r="D79" s="12">
        <v>0.01</v>
      </c>
      <c r="E79" s="15">
        <v>0.5</v>
      </c>
    </row>
    <row r="80" spans="2:5" ht="30" customHeight="1" x14ac:dyDescent="0.25">
      <c r="B80" s="9" t="s">
        <v>122</v>
      </c>
      <c r="C80" s="1" t="s">
        <v>119</v>
      </c>
      <c r="D80" s="12">
        <v>0.5</v>
      </c>
      <c r="E80" s="15">
        <v>0.4</v>
      </c>
    </row>
    <row r="81" spans="2:5" ht="30" customHeight="1" x14ac:dyDescent="0.25">
      <c r="B81" s="9" t="s">
        <v>302</v>
      </c>
      <c r="C81" s="9" t="s">
        <v>120</v>
      </c>
      <c r="D81" s="12">
        <v>0.5</v>
      </c>
      <c r="E81" s="15">
        <v>4</v>
      </c>
    </row>
    <row r="82" spans="2:5" ht="30" customHeight="1" x14ac:dyDescent="0.25">
      <c r="B82" s="9" t="s">
        <v>172</v>
      </c>
      <c r="C82" s="9" t="s">
        <v>120</v>
      </c>
      <c r="D82" s="12">
        <v>0.4</v>
      </c>
      <c r="E82" s="15">
        <v>2</v>
      </c>
    </row>
    <row r="83" spans="2:5" ht="30" customHeight="1" x14ac:dyDescent="0.25">
      <c r="B83" s="9" t="s">
        <v>304</v>
      </c>
      <c r="C83" s="9" t="s">
        <v>120</v>
      </c>
      <c r="D83" s="12">
        <v>0.2</v>
      </c>
      <c r="E83" s="15">
        <v>0.8</v>
      </c>
    </row>
    <row r="84" spans="2:5" ht="30" customHeight="1" x14ac:dyDescent="0.25">
      <c r="B84" s="9" t="s">
        <v>303</v>
      </c>
      <c r="C84" s="9" t="s">
        <v>120</v>
      </c>
      <c r="D84" s="12">
        <v>0.5</v>
      </c>
      <c r="E84" s="15">
        <v>3</v>
      </c>
    </row>
    <row r="85" spans="2:5" ht="30" customHeight="1" x14ac:dyDescent="0.25">
      <c r="B85" s="9" t="s">
        <v>340</v>
      </c>
      <c r="C85" s="9" t="s">
        <v>120</v>
      </c>
      <c r="D85" s="12">
        <v>0.25</v>
      </c>
      <c r="E85" s="15">
        <v>2</v>
      </c>
    </row>
    <row r="86" spans="2:5" ht="30" customHeight="1" x14ac:dyDescent="0.25">
      <c r="B86" s="9" t="s">
        <v>170</v>
      </c>
      <c r="C86" s="9" t="s">
        <v>120</v>
      </c>
      <c r="D86" s="12">
        <v>0.5</v>
      </c>
      <c r="E86" s="15">
        <v>3</v>
      </c>
    </row>
    <row r="87" spans="2:5" ht="30" customHeight="1" x14ac:dyDescent="0.25">
      <c r="B87" s="9" t="s">
        <v>295</v>
      </c>
      <c r="C87" s="9" t="s">
        <v>120</v>
      </c>
      <c r="D87" s="12">
        <v>0.5</v>
      </c>
      <c r="E87" s="15">
        <v>6</v>
      </c>
    </row>
    <row r="88" spans="2:5" ht="30" customHeight="1" x14ac:dyDescent="0.25">
      <c r="B88" s="9" t="s">
        <v>297</v>
      </c>
      <c r="C88" s="9" t="s">
        <v>120</v>
      </c>
      <c r="D88" s="12">
        <v>0.5</v>
      </c>
      <c r="E88" s="15">
        <v>6</v>
      </c>
    </row>
    <row r="89" spans="2:5" ht="30" customHeight="1" x14ac:dyDescent="0.25">
      <c r="B89" s="9" t="s">
        <v>298</v>
      </c>
      <c r="C89" s="9" t="s">
        <v>120</v>
      </c>
      <c r="D89" s="12">
        <v>0.5</v>
      </c>
      <c r="E89" s="15">
        <v>6</v>
      </c>
    </row>
    <row r="90" spans="2:5" ht="30" customHeight="1" x14ac:dyDescent="0.25">
      <c r="B90" s="9" t="s">
        <v>299</v>
      </c>
      <c r="C90" s="9" t="s">
        <v>120</v>
      </c>
      <c r="D90" s="12">
        <v>0.5</v>
      </c>
      <c r="E90" s="15">
        <v>6</v>
      </c>
    </row>
    <row r="91" spans="2:5" ht="30" customHeight="1" x14ac:dyDescent="0.25">
      <c r="B91" s="9" t="s">
        <v>300</v>
      </c>
      <c r="C91" s="9" t="s">
        <v>120</v>
      </c>
      <c r="D91" s="12">
        <v>0.5</v>
      </c>
      <c r="E91" s="15">
        <v>6</v>
      </c>
    </row>
    <row r="92" spans="2:5" ht="30" customHeight="1" x14ac:dyDescent="0.25">
      <c r="B92" s="9" t="s">
        <v>296</v>
      </c>
      <c r="C92" s="9" t="s">
        <v>120</v>
      </c>
      <c r="D92" s="12">
        <v>0.5</v>
      </c>
      <c r="E92" s="15">
        <v>6</v>
      </c>
    </row>
    <row r="93" spans="2:5" ht="30" customHeight="1" x14ac:dyDescent="0.25">
      <c r="B93" s="9" t="s">
        <v>294</v>
      </c>
      <c r="C93" s="1" t="s">
        <v>119</v>
      </c>
      <c r="D93" s="12">
        <v>0.2</v>
      </c>
      <c r="E93" s="15">
        <v>0.8</v>
      </c>
    </row>
    <row r="94" spans="2:5" ht="30" customHeight="1" x14ac:dyDescent="0.25">
      <c r="B94" s="9" t="s">
        <v>375</v>
      </c>
      <c r="C94" s="9" t="s">
        <v>120</v>
      </c>
      <c r="D94" s="12">
        <v>0.1</v>
      </c>
      <c r="E94" s="15">
        <v>750</v>
      </c>
    </row>
    <row r="95" spans="2:5" ht="30" customHeight="1" x14ac:dyDescent="0.25">
      <c r="B95" s="9" t="s">
        <v>336</v>
      </c>
      <c r="C95" s="9" t="s">
        <v>120</v>
      </c>
      <c r="D95" s="12">
        <v>0</v>
      </c>
      <c r="E95" s="15">
        <v>1</v>
      </c>
    </row>
    <row r="96" spans="2:5" ht="30" customHeight="1" x14ac:dyDescent="0.25">
      <c r="B96" s="9" t="s">
        <v>474</v>
      </c>
      <c r="C96" s="9" t="s">
        <v>117</v>
      </c>
      <c r="D96" s="12">
        <v>0.5</v>
      </c>
      <c r="E96" s="15">
        <v>890</v>
      </c>
    </row>
    <row r="97" spans="2:5" ht="30" customHeight="1" x14ac:dyDescent="0.25">
      <c r="B97" s="9" t="s">
        <v>473</v>
      </c>
      <c r="C97" s="9" t="s">
        <v>117</v>
      </c>
      <c r="D97" s="12">
        <v>0.1</v>
      </c>
      <c r="E97" s="15">
        <v>1040</v>
      </c>
    </row>
    <row r="98" spans="2:5" ht="30" customHeight="1" x14ac:dyDescent="0.25">
      <c r="B98" s="9" t="s">
        <v>257</v>
      </c>
      <c r="C98" s="9" t="s">
        <v>117</v>
      </c>
      <c r="D98" s="12">
        <v>0.15</v>
      </c>
      <c r="E98" s="15">
        <v>900</v>
      </c>
    </row>
    <row r="99" spans="2:5" ht="30" customHeight="1" x14ac:dyDescent="0.25">
      <c r="B99" s="9" t="s">
        <v>475</v>
      </c>
      <c r="C99" s="9" t="s">
        <v>117</v>
      </c>
      <c r="D99" s="12">
        <v>0.3</v>
      </c>
      <c r="E99" s="15">
        <v>760</v>
      </c>
    </row>
    <row r="100" spans="2:5" ht="30" customHeight="1" x14ac:dyDescent="0.25">
      <c r="B100" s="9" t="s">
        <v>163</v>
      </c>
      <c r="C100" s="9" t="s">
        <v>116</v>
      </c>
      <c r="D100" s="12">
        <v>0.03</v>
      </c>
      <c r="E100" s="15">
        <v>14</v>
      </c>
    </row>
    <row r="101" spans="2:5" ht="30" customHeight="1" x14ac:dyDescent="0.25">
      <c r="B101" s="9" t="s">
        <v>216</v>
      </c>
      <c r="C101" s="9" t="s">
        <v>116</v>
      </c>
      <c r="D101" s="12">
        <v>3</v>
      </c>
      <c r="E101" s="15">
        <v>220</v>
      </c>
    </row>
    <row r="102" spans="2:5" ht="30" customHeight="1" x14ac:dyDescent="0.25">
      <c r="B102" s="9" t="s">
        <v>204</v>
      </c>
      <c r="C102" s="1" t="s">
        <v>119</v>
      </c>
      <c r="D102" s="12">
        <v>1</v>
      </c>
      <c r="E102" s="15">
        <v>28</v>
      </c>
    </row>
    <row r="103" spans="2:5" ht="30" customHeight="1" x14ac:dyDescent="0.25">
      <c r="B103" s="9" t="s">
        <v>167</v>
      </c>
      <c r="C103" s="9" t="s">
        <v>116</v>
      </c>
      <c r="D103" s="12">
        <v>0.02</v>
      </c>
      <c r="E103" s="15">
        <v>14</v>
      </c>
    </row>
    <row r="104" spans="2:5" ht="30" customHeight="1" x14ac:dyDescent="0.25">
      <c r="B104" s="9" t="s">
        <v>215</v>
      </c>
      <c r="C104" s="9" t="s">
        <v>116</v>
      </c>
      <c r="D104" s="12">
        <v>2</v>
      </c>
      <c r="E104" s="15">
        <v>110</v>
      </c>
    </row>
    <row r="105" spans="2:5" ht="30" customHeight="1" x14ac:dyDescent="0.25">
      <c r="B105" s="9" t="s">
        <v>220</v>
      </c>
      <c r="C105" s="9" t="s">
        <v>116</v>
      </c>
      <c r="D105" s="12">
        <v>2</v>
      </c>
      <c r="E105" s="15">
        <v>110</v>
      </c>
    </row>
    <row r="106" spans="2:5" ht="30" customHeight="1" x14ac:dyDescent="0.25">
      <c r="B106" s="9" t="s">
        <v>224</v>
      </c>
      <c r="C106" s="9" t="s">
        <v>116</v>
      </c>
      <c r="D106" s="12">
        <v>0.5</v>
      </c>
      <c r="E106" s="15">
        <v>290</v>
      </c>
    </row>
    <row r="107" spans="2:5" ht="30" customHeight="1" x14ac:dyDescent="0.25">
      <c r="B107" s="9" t="s">
        <v>218</v>
      </c>
      <c r="C107" s="9" t="s">
        <v>116</v>
      </c>
      <c r="D107" s="12">
        <v>0.5</v>
      </c>
      <c r="E107" s="15">
        <v>110</v>
      </c>
    </row>
    <row r="108" spans="2:5" ht="30" customHeight="1" x14ac:dyDescent="0.25">
      <c r="B108" s="9" t="s">
        <v>203</v>
      </c>
      <c r="C108" s="1" t="s">
        <v>119</v>
      </c>
      <c r="D108" s="12">
        <v>1</v>
      </c>
      <c r="E108" s="15">
        <v>7</v>
      </c>
    </row>
    <row r="109" spans="2:5" ht="30" customHeight="1" x14ac:dyDescent="0.25">
      <c r="B109" s="9" t="s">
        <v>223</v>
      </c>
      <c r="C109" s="9" t="s">
        <v>116</v>
      </c>
      <c r="D109" s="12">
        <v>0.5</v>
      </c>
      <c r="E109" s="15">
        <v>260</v>
      </c>
    </row>
    <row r="110" spans="2:5" ht="30" customHeight="1" x14ac:dyDescent="0.25">
      <c r="B110" s="9" t="s">
        <v>217</v>
      </c>
      <c r="C110" s="9" t="s">
        <v>116</v>
      </c>
      <c r="D110" s="12">
        <v>3</v>
      </c>
      <c r="E110" s="15">
        <v>220</v>
      </c>
    </row>
    <row r="111" spans="2:5" ht="30" customHeight="1" x14ac:dyDescent="0.25">
      <c r="B111" s="9" t="s">
        <v>219</v>
      </c>
      <c r="C111" s="9" t="s">
        <v>116</v>
      </c>
      <c r="D111" s="12">
        <v>1</v>
      </c>
      <c r="E111" s="15">
        <v>120</v>
      </c>
    </row>
    <row r="112" spans="2:5" ht="30" customHeight="1" x14ac:dyDescent="0.25">
      <c r="B112" s="9" t="s">
        <v>221</v>
      </c>
      <c r="C112" s="9" t="s">
        <v>116</v>
      </c>
      <c r="D112" s="12">
        <v>2</v>
      </c>
      <c r="E112" s="15">
        <v>200</v>
      </c>
    </row>
    <row r="113" spans="2:5" ht="30" customHeight="1" x14ac:dyDescent="0.25">
      <c r="B113" s="9" t="s">
        <v>360</v>
      </c>
      <c r="C113" s="9" t="s">
        <v>120</v>
      </c>
      <c r="D113" s="12">
        <v>0.2</v>
      </c>
      <c r="E113" s="15">
        <v>500</v>
      </c>
    </row>
    <row r="114" spans="2:5" ht="30" customHeight="1" x14ac:dyDescent="0.25">
      <c r="B114" s="9" t="s">
        <v>212</v>
      </c>
      <c r="C114" s="9" t="s">
        <v>116</v>
      </c>
      <c r="D114" s="12">
        <v>1.5</v>
      </c>
      <c r="E114" s="15">
        <v>4</v>
      </c>
    </row>
    <row r="115" spans="2:5" ht="30" customHeight="1" x14ac:dyDescent="0.25">
      <c r="B115" s="9" t="s">
        <v>158</v>
      </c>
      <c r="C115" s="9" t="s">
        <v>118</v>
      </c>
      <c r="D115" s="12">
        <v>0.01</v>
      </c>
      <c r="E115" s="15">
        <v>0.6</v>
      </c>
    </row>
    <row r="116" spans="2:5" ht="30" customHeight="1" x14ac:dyDescent="0.25">
      <c r="B116" s="9" t="s">
        <v>156</v>
      </c>
      <c r="C116" s="9" t="s">
        <v>118</v>
      </c>
      <c r="D116" s="12">
        <v>0.01</v>
      </c>
      <c r="E116" s="15">
        <v>0.6</v>
      </c>
    </row>
    <row r="117" spans="2:5" ht="30" customHeight="1" x14ac:dyDescent="0.25">
      <c r="B117" s="9" t="s">
        <v>109</v>
      </c>
      <c r="C117" s="1" t="s">
        <v>119</v>
      </c>
      <c r="D117" s="12">
        <v>0.5</v>
      </c>
      <c r="E117" s="15">
        <v>1</v>
      </c>
    </row>
    <row r="118" spans="2:5" ht="30" customHeight="1" x14ac:dyDescent="0.25">
      <c r="B118" s="9" t="s">
        <v>161</v>
      </c>
      <c r="C118" s="9" t="s">
        <v>118</v>
      </c>
      <c r="D118" s="12">
        <v>0.01</v>
      </c>
      <c r="E118" s="15">
        <v>0.01</v>
      </c>
    </row>
    <row r="119" spans="2:5" ht="30" customHeight="1" x14ac:dyDescent="0.25">
      <c r="B119" s="9" t="s">
        <v>324</v>
      </c>
      <c r="C119" s="1" t="s">
        <v>119</v>
      </c>
      <c r="D119" s="12">
        <v>1</v>
      </c>
      <c r="E119" s="15">
        <v>25</v>
      </c>
    </row>
    <row r="120" spans="2:5" ht="30" customHeight="1" x14ac:dyDescent="0.25">
      <c r="B120" s="9" t="s">
        <v>374</v>
      </c>
      <c r="C120" s="9" t="s">
        <v>120</v>
      </c>
      <c r="D120" s="12">
        <v>0.5</v>
      </c>
      <c r="E120" s="15">
        <v>1000</v>
      </c>
    </row>
    <row r="121" spans="2:5" ht="30" customHeight="1" x14ac:dyDescent="0.25">
      <c r="B121" s="9" t="s">
        <v>361</v>
      </c>
      <c r="C121" s="9" t="s">
        <v>120</v>
      </c>
      <c r="D121" s="12">
        <v>2.5</v>
      </c>
      <c r="E121" s="15">
        <v>10</v>
      </c>
    </row>
    <row r="122" spans="2:5" ht="30" customHeight="1" x14ac:dyDescent="0.25">
      <c r="B122" s="9" t="s">
        <v>376</v>
      </c>
      <c r="C122" s="9" t="s">
        <v>120</v>
      </c>
      <c r="D122" s="12">
        <v>0.2</v>
      </c>
      <c r="E122" s="15">
        <v>750</v>
      </c>
    </row>
    <row r="123" spans="2:5" ht="30" customHeight="1" x14ac:dyDescent="0.25">
      <c r="B123" s="9" t="s">
        <v>342</v>
      </c>
      <c r="C123" s="9" t="s">
        <v>120</v>
      </c>
      <c r="D123" s="12">
        <v>0.06</v>
      </c>
      <c r="E123" s="15">
        <v>750</v>
      </c>
    </row>
    <row r="124" spans="2:5" ht="30" customHeight="1" x14ac:dyDescent="0.25">
      <c r="B124" s="9" t="s">
        <v>343</v>
      </c>
      <c r="C124" s="9" t="s">
        <v>120</v>
      </c>
      <c r="D124" s="12">
        <v>0.06</v>
      </c>
      <c r="E124" s="15">
        <v>750</v>
      </c>
    </row>
    <row r="125" spans="2:5" ht="30" customHeight="1" x14ac:dyDescent="0.25">
      <c r="B125" s="9" t="s">
        <v>176</v>
      </c>
      <c r="C125" s="9" t="s">
        <v>118</v>
      </c>
      <c r="D125" s="12">
        <v>0.2</v>
      </c>
      <c r="E125" s="15">
        <v>20</v>
      </c>
    </row>
    <row r="126" spans="2:5" ht="30" customHeight="1" x14ac:dyDescent="0.25">
      <c r="B126" s="9" t="s">
        <v>175</v>
      </c>
      <c r="C126" s="9" t="s">
        <v>118</v>
      </c>
      <c r="D126" s="12">
        <v>0.2</v>
      </c>
      <c r="E126" s="15">
        <v>6</v>
      </c>
    </row>
    <row r="127" spans="2:5" ht="30" customHeight="1" x14ac:dyDescent="0.25">
      <c r="B127" s="9" t="s">
        <v>377</v>
      </c>
      <c r="C127" s="9" t="s">
        <v>120</v>
      </c>
      <c r="D127" s="12">
        <v>0.5</v>
      </c>
      <c r="E127" s="15">
        <v>750</v>
      </c>
    </row>
    <row r="128" spans="2:5" ht="30" customHeight="1" x14ac:dyDescent="0.25">
      <c r="B128" s="9" t="s">
        <v>200</v>
      </c>
      <c r="C128" s="9" t="s">
        <v>118</v>
      </c>
      <c r="D128" s="12">
        <v>0.05</v>
      </c>
      <c r="E128" s="15">
        <v>1</v>
      </c>
    </row>
    <row r="129" spans="2:5" ht="30" customHeight="1" x14ac:dyDescent="0.25">
      <c r="B129" s="9" t="s">
        <v>442</v>
      </c>
      <c r="C129" s="9" t="s">
        <v>117</v>
      </c>
      <c r="D129" s="12">
        <v>6</v>
      </c>
      <c r="E129" s="15">
        <v>6050</v>
      </c>
    </row>
    <row r="130" spans="2:5" ht="30" customHeight="1" x14ac:dyDescent="0.25">
      <c r="B130" s="9" t="s">
        <v>443</v>
      </c>
      <c r="C130" s="9" t="s">
        <v>117</v>
      </c>
      <c r="D130" s="12">
        <v>2</v>
      </c>
      <c r="E130" s="15">
        <v>1900</v>
      </c>
    </row>
    <row r="131" spans="2:5" ht="30" customHeight="1" x14ac:dyDescent="0.25">
      <c r="B131" s="9" t="s">
        <v>448</v>
      </c>
      <c r="C131" s="9" t="s">
        <v>117</v>
      </c>
      <c r="D131" s="12">
        <v>4</v>
      </c>
      <c r="E131" s="15">
        <v>4020</v>
      </c>
    </row>
    <row r="132" spans="2:5" ht="30" customHeight="1" x14ac:dyDescent="0.25">
      <c r="B132" s="9" t="s">
        <v>445</v>
      </c>
      <c r="C132" s="9" t="s">
        <v>117</v>
      </c>
      <c r="D132" s="12">
        <v>2</v>
      </c>
      <c r="E132" s="15">
        <v>2000</v>
      </c>
    </row>
    <row r="133" spans="2:5" ht="30" customHeight="1" x14ac:dyDescent="0.25">
      <c r="B133" s="9" t="s">
        <v>444</v>
      </c>
      <c r="C133" s="9" t="s">
        <v>117</v>
      </c>
      <c r="D133" s="12">
        <v>2</v>
      </c>
      <c r="E133" s="15">
        <v>2000</v>
      </c>
    </row>
    <row r="134" spans="2:5" ht="30" customHeight="1" x14ac:dyDescent="0.25">
      <c r="B134" s="9" t="s">
        <v>446</v>
      </c>
      <c r="C134" s="9" t="s">
        <v>117</v>
      </c>
      <c r="D134" s="12">
        <v>4</v>
      </c>
      <c r="E134" s="15">
        <v>3820</v>
      </c>
    </row>
    <row r="135" spans="2:5" ht="30" customHeight="1" x14ac:dyDescent="0.25">
      <c r="B135" s="9" t="s">
        <v>406</v>
      </c>
      <c r="C135" s="9" t="s">
        <v>116</v>
      </c>
      <c r="D135" s="12">
        <v>0.8</v>
      </c>
      <c r="E135" s="15">
        <v>890</v>
      </c>
    </row>
    <row r="136" spans="2:5" ht="30" customHeight="1" x14ac:dyDescent="0.25">
      <c r="B136" s="9" t="s">
        <v>407</v>
      </c>
      <c r="C136" s="9" t="s">
        <v>116</v>
      </c>
      <c r="D136" s="12">
        <v>1</v>
      </c>
      <c r="E136" s="15">
        <v>890</v>
      </c>
    </row>
    <row r="137" spans="2:5" ht="30" customHeight="1" x14ac:dyDescent="0.25">
      <c r="B137" s="9" t="s">
        <v>404</v>
      </c>
      <c r="C137" s="9" t="s">
        <v>116</v>
      </c>
      <c r="D137" s="12">
        <v>0.5</v>
      </c>
      <c r="E137" s="15">
        <v>1260</v>
      </c>
    </row>
    <row r="138" spans="2:5" ht="30" customHeight="1" x14ac:dyDescent="0.25">
      <c r="B138" s="9" t="s">
        <v>405</v>
      </c>
      <c r="C138" s="9" t="s">
        <v>116</v>
      </c>
      <c r="D138" s="12">
        <v>1</v>
      </c>
      <c r="E138" s="15">
        <v>880</v>
      </c>
    </row>
    <row r="139" spans="2:5" ht="30" customHeight="1" x14ac:dyDescent="0.25">
      <c r="B139" s="9" t="s">
        <v>430</v>
      </c>
      <c r="C139" s="9" t="s">
        <v>117</v>
      </c>
      <c r="D139" s="12">
        <v>0.2</v>
      </c>
      <c r="E139" s="15">
        <v>1010</v>
      </c>
    </row>
    <row r="140" spans="2:5" ht="30" customHeight="1" x14ac:dyDescent="0.25">
      <c r="B140" s="9" t="s">
        <v>456</v>
      </c>
      <c r="C140" s="9" t="s">
        <v>117</v>
      </c>
      <c r="D140" s="12">
        <v>1</v>
      </c>
      <c r="E140" s="15">
        <v>1440</v>
      </c>
    </row>
    <row r="141" spans="2:5" ht="30" customHeight="1" x14ac:dyDescent="0.25">
      <c r="B141" s="9" t="s">
        <v>454</v>
      </c>
      <c r="C141" s="9" t="s">
        <v>117</v>
      </c>
      <c r="D141" s="12">
        <v>2</v>
      </c>
      <c r="E141" s="15">
        <v>2880</v>
      </c>
    </row>
    <row r="142" spans="2:5" ht="30" customHeight="1" x14ac:dyDescent="0.25">
      <c r="B142" s="9" t="s">
        <v>414</v>
      </c>
      <c r="C142" s="9" t="s">
        <v>117</v>
      </c>
      <c r="D142" s="12">
        <v>3</v>
      </c>
      <c r="E142" s="15">
        <v>3160</v>
      </c>
    </row>
    <row r="143" spans="2:5" ht="30" customHeight="1" x14ac:dyDescent="0.25">
      <c r="B143" s="9" t="s">
        <v>455</v>
      </c>
      <c r="C143" s="9" t="s">
        <v>117</v>
      </c>
      <c r="D143" s="12">
        <v>0.5</v>
      </c>
      <c r="E143" s="15">
        <v>1400</v>
      </c>
    </row>
    <row r="144" spans="2:5" ht="30" customHeight="1" x14ac:dyDescent="0.25">
      <c r="B144" s="9" t="s">
        <v>465</v>
      </c>
      <c r="C144" s="9" t="s">
        <v>117</v>
      </c>
      <c r="D144" s="12">
        <v>0.2</v>
      </c>
      <c r="E144" s="15">
        <v>2870</v>
      </c>
    </row>
    <row r="145" spans="2:5" ht="30" customHeight="1" x14ac:dyDescent="0.25">
      <c r="B145" s="9" t="s">
        <v>463</v>
      </c>
      <c r="C145" s="9" t="s">
        <v>117</v>
      </c>
      <c r="D145" s="12">
        <v>0.7</v>
      </c>
      <c r="E145" s="15">
        <v>1700</v>
      </c>
    </row>
    <row r="146" spans="2:5" ht="30" customHeight="1" x14ac:dyDescent="0.25">
      <c r="B146" s="9" t="s">
        <v>466</v>
      </c>
      <c r="C146" s="9" t="s">
        <v>117</v>
      </c>
      <c r="D146" s="12">
        <v>0.15</v>
      </c>
      <c r="E146" s="15">
        <v>1850</v>
      </c>
    </row>
    <row r="147" spans="2:5" ht="30" customHeight="1" x14ac:dyDescent="0.25">
      <c r="B147" s="9" t="s">
        <v>408</v>
      </c>
      <c r="C147" s="9" t="s">
        <v>116</v>
      </c>
      <c r="D147" s="12">
        <v>0.9</v>
      </c>
      <c r="E147" s="15">
        <v>1110</v>
      </c>
    </row>
    <row r="148" spans="2:5" ht="30" customHeight="1" x14ac:dyDescent="0.25">
      <c r="B148" s="9" t="s">
        <v>464</v>
      </c>
      <c r="C148" s="9" t="s">
        <v>117</v>
      </c>
      <c r="D148" s="12">
        <v>0.5</v>
      </c>
      <c r="E148" s="15">
        <v>1150</v>
      </c>
    </row>
    <row r="149" spans="2:5" ht="30" customHeight="1" x14ac:dyDescent="0.25">
      <c r="B149" s="9" t="s">
        <v>462</v>
      </c>
      <c r="C149" s="9" t="s">
        <v>117</v>
      </c>
      <c r="D149" s="12">
        <v>0.6</v>
      </c>
      <c r="E149" s="15">
        <v>1700</v>
      </c>
    </row>
    <row r="150" spans="2:5" ht="30" customHeight="1" x14ac:dyDescent="0.25">
      <c r="B150" s="9" t="s">
        <v>378</v>
      </c>
      <c r="C150" s="9" t="s">
        <v>120</v>
      </c>
      <c r="D150" s="12">
        <v>0.1</v>
      </c>
      <c r="E150" s="15">
        <v>500</v>
      </c>
    </row>
    <row r="151" spans="2:5" ht="30" customHeight="1" x14ac:dyDescent="0.25">
      <c r="B151" s="9" t="s">
        <v>154</v>
      </c>
      <c r="C151" s="1" t="s">
        <v>119</v>
      </c>
      <c r="D151" s="12">
        <v>0.01</v>
      </c>
      <c r="E151" s="15">
        <v>0.9</v>
      </c>
    </row>
    <row r="152" spans="2:5" ht="30" customHeight="1" x14ac:dyDescent="0.25">
      <c r="B152" s="9" t="s">
        <v>312</v>
      </c>
      <c r="C152" s="1" t="s">
        <v>119</v>
      </c>
      <c r="D152" s="12">
        <v>0.5</v>
      </c>
      <c r="E152" s="15">
        <v>4</v>
      </c>
    </row>
    <row r="153" spans="2:5" ht="30" customHeight="1" x14ac:dyDescent="0.25">
      <c r="B153" s="9" t="s">
        <v>447</v>
      </c>
      <c r="C153" s="9" t="s">
        <v>117</v>
      </c>
      <c r="D153" s="12">
        <v>0.6</v>
      </c>
      <c r="E153" s="15">
        <v>850</v>
      </c>
    </row>
    <row r="154" spans="2:5" ht="30" customHeight="1" x14ac:dyDescent="0.25">
      <c r="B154" s="9" t="s">
        <v>417</v>
      </c>
      <c r="C154" s="9" t="s">
        <v>117</v>
      </c>
      <c r="D154" s="12">
        <v>0.1</v>
      </c>
      <c r="E154" s="15">
        <v>740</v>
      </c>
    </row>
    <row r="155" spans="2:5" ht="30" customHeight="1" x14ac:dyDescent="0.25">
      <c r="B155" s="9" t="s">
        <v>424</v>
      </c>
      <c r="C155" s="9" t="s">
        <v>117</v>
      </c>
      <c r="D155" s="12">
        <v>0.4</v>
      </c>
      <c r="E155" s="15">
        <v>630</v>
      </c>
    </row>
    <row r="156" spans="2:5" ht="30" customHeight="1" x14ac:dyDescent="0.25">
      <c r="B156" s="9" t="s">
        <v>415</v>
      </c>
      <c r="C156" s="9" t="s">
        <v>117</v>
      </c>
      <c r="D156" s="12">
        <v>0.4</v>
      </c>
      <c r="E156" s="15">
        <v>810</v>
      </c>
    </row>
    <row r="157" spans="2:5" ht="30" customHeight="1" x14ac:dyDescent="0.25">
      <c r="B157" s="9" t="s">
        <v>457</v>
      </c>
      <c r="C157" s="9" t="s">
        <v>117</v>
      </c>
      <c r="D157" s="12">
        <v>0.5</v>
      </c>
      <c r="E157" s="15">
        <v>730</v>
      </c>
    </row>
    <row r="158" spans="2:5" ht="30" customHeight="1" x14ac:dyDescent="0.25">
      <c r="B158" s="9" t="s">
        <v>410</v>
      </c>
      <c r="C158" s="9" t="s">
        <v>117</v>
      </c>
      <c r="D158" s="12">
        <v>0.5</v>
      </c>
      <c r="E158" s="15">
        <v>550</v>
      </c>
    </row>
    <row r="159" spans="2:5" ht="30" customHeight="1" x14ac:dyDescent="0.25">
      <c r="B159" s="9" t="s">
        <v>23</v>
      </c>
      <c r="C159" s="1" t="s">
        <v>119</v>
      </c>
      <c r="D159" s="12">
        <v>0.5</v>
      </c>
      <c r="E159" s="15">
        <v>0.9</v>
      </c>
    </row>
    <row r="160" spans="2:5" ht="30" customHeight="1" x14ac:dyDescent="0.25">
      <c r="B160" s="9" t="s">
        <v>25</v>
      </c>
      <c r="C160" s="9" t="s">
        <v>118</v>
      </c>
      <c r="D160" s="12">
        <v>0.2</v>
      </c>
      <c r="E160" s="15">
        <v>10</v>
      </c>
    </row>
    <row r="161" spans="2:5" ht="30" customHeight="1" x14ac:dyDescent="0.25">
      <c r="B161" s="9" t="s">
        <v>494</v>
      </c>
      <c r="C161" s="9" t="s">
        <v>118</v>
      </c>
      <c r="D161" s="12">
        <v>0.3</v>
      </c>
      <c r="E161" s="15">
        <v>140</v>
      </c>
    </row>
    <row r="162" spans="2:5" ht="30" customHeight="1" x14ac:dyDescent="0.25">
      <c r="B162" s="9" t="s">
        <v>210</v>
      </c>
      <c r="C162" s="9" t="s">
        <v>116</v>
      </c>
      <c r="D162" s="12">
        <v>2.5</v>
      </c>
      <c r="E162" s="15">
        <v>50</v>
      </c>
    </row>
    <row r="163" spans="2:5" ht="30" customHeight="1" x14ac:dyDescent="0.25">
      <c r="B163" s="9" t="s">
        <v>189</v>
      </c>
      <c r="C163" s="9" t="s">
        <v>118</v>
      </c>
      <c r="D163" s="12">
        <v>0.2</v>
      </c>
      <c r="E163" s="15">
        <v>9</v>
      </c>
    </row>
    <row r="164" spans="2:5" ht="30" customHeight="1" x14ac:dyDescent="0.25">
      <c r="B164" s="9" t="s">
        <v>190</v>
      </c>
      <c r="C164" s="9" t="s">
        <v>118</v>
      </c>
      <c r="D164" s="12">
        <v>0.2</v>
      </c>
      <c r="E164" s="15">
        <v>13</v>
      </c>
    </row>
    <row r="165" spans="2:5" ht="30" customHeight="1" x14ac:dyDescent="0.25">
      <c r="B165" s="9" t="s">
        <v>105</v>
      </c>
      <c r="C165" s="1" t="s">
        <v>119</v>
      </c>
      <c r="D165" s="12">
        <v>0.05</v>
      </c>
      <c r="E165" s="15">
        <v>7</v>
      </c>
    </row>
    <row r="166" spans="2:5" ht="30" customHeight="1" x14ac:dyDescent="0.25">
      <c r="B166" s="9" t="s">
        <v>106</v>
      </c>
      <c r="C166" s="1" t="s">
        <v>119</v>
      </c>
      <c r="D166" s="12">
        <v>0.02</v>
      </c>
      <c r="E166" s="15">
        <v>6</v>
      </c>
    </row>
    <row r="167" spans="2:5" ht="30" customHeight="1" x14ac:dyDescent="0.25">
      <c r="B167" s="9" t="s">
        <v>107</v>
      </c>
      <c r="C167" s="1" t="s">
        <v>119</v>
      </c>
      <c r="D167" s="12">
        <v>0.04</v>
      </c>
      <c r="E167" s="15">
        <v>5</v>
      </c>
    </row>
    <row r="168" spans="2:5" ht="30" customHeight="1" x14ac:dyDescent="0.25">
      <c r="B168" s="9" t="s">
        <v>108</v>
      </c>
      <c r="C168" s="1" t="s">
        <v>119</v>
      </c>
      <c r="D168" s="12">
        <v>0.01</v>
      </c>
      <c r="E168" s="15">
        <v>4</v>
      </c>
    </row>
    <row r="169" spans="2:5" ht="30" customHeight="1" x14ac:dyDescent="0.25">
      <c r="B169" s="9" t="s">
        <v>344</v>
      </c>
      <c r="C169" s="9" t="s">
        <v>120</v>
      </c>
      <c r="D169" s="12">
        <v>0.9</v>
      </c>
      <c r="E169" s="15">
        <v>500</v>
      </c>
    </row>
    <row r="170" spans="2:5" ht="30" customHeight="1" x14ac:dyDescent="0.25">
      <c r="B170" s="9" t="s">
        <v>483</v>
      </c>
      <c r="C170" s="9" t="s">
        <v>118</v>
      </c>
      <c r="D170" s="12">
        <v>0.1</v>
      </c>
      <c r="E170" s="15">
        <v>0.6</v>
      </c>
    </row>
    <row r="171" spans="2:5" ht="30" customHeight="1" x14ac:dyDescent="0.25">
      <c r="B171" s="9" t="s">
        <v>379</v>
      </c>
      <c r="C171" s="9" t="s">
        <v>120</v>
      </c>
      <c r="D171" s="12">
        <v>1</v>
      </c>
      <c r="E171" s="15">
        <v>1000</v>
      </c>
    </row>
    <row r="172" spans="2:5" ht="30" customHeight="1" x14ac:dyDescent="0.25">
      <c r="B172" s="9" t="s">
        <v>500</v>
      </c>
      <c r="C172" s="9" t="s">
        <v>118</v>
      </c>
      <c r="D172" s="12">
        <v>1</v>
      </c>
      <c r="E172" s="15">
        <v>70</v>
      </c>
    </row>
    <row r="173" spans="2:5" ht="30" customHeight="1" x14ac:dyDescent="0.25">
      <c r="B173" s="9" t="s">
        <v>495</v>
      </c>
      <c r="C173" s="9" t="s">
        <v>118</v>
      </c>
      <c r="D173" s="12">
        <v>0.3</v>
      </c>
      <c r="E173" s="15">
        <v>50</v>
      </c>
    </row>
    <row r="174" spans="2:5" ht="30" customHeight="1" x14ac:dyDescent="0.25">
      <c r="B174" s="9" t="s">
        <v>305</v>
      </c>
      <c r="C174" s="1" t="s">
        <v>119</v>
      </c>
      <c r="D174" s="12">
        <v>0.25</v>
      </c>
      <c r="E174" s="15">
        <v>4</v>
      </c>
    </row>
    <row r="175" spans="2:5" ht="30" customHeight="1" x14ac:dyDescent="0.25">
      <c r="B175" s="9" t="s">
        <v>345</v>
      </c>
      <c r="C175" s="9" t="s">
        <v>120</v>
      </c>
      <c r="D175" s="12">
        <v>7.0000000000000007E-2</v>
      </c>
      <c r="E175" s="15">
        <v>500</v>
      </c>
    </row>
    <row r="176" spans="2:5" ht="30" customHeight="1" x14ac:dyDescent="0.25">
      <c r="B176" s="9" t="s">
        <v>346</v>
      </c>
      <c r="C176" s="9" t="s">
        <v>120</v>
      </c>
      <c r="D176" s="12">
        <v>1.1000000000000001</v>
      </c>
      <c r="E176" s="15">
        <v>750</v>
      </c>
    </row>
    <row r="177" spans="2:5" ht="30" customHeight="1" x14ac:dyDescent="0.25">
      <c r="B177" s="9" t="s">
        <v>347</v>
      </c>
      <c r="C177" s="9" t="s">
        <v>120</v>
      </c>
      <c r="D177" s="12">
        <v>0.05</v>
      </c>
      <c r="E177" s="15">
        <v>750</v>
      </c>
    </row>
    <row r="178" spans="2:5" ht="30" customHeight="1" x14ac:dyDescent="0.25">
      <c r="B178" s="9" t="s">
        <v>320</v>
      </c>
      <c r="C178" s="1" t="s">
        <v>119</v>
      </c>
      <c r="D178" s="12">
        <v>0.1</v>
      </c>
      <c r="E178" s="15">
        <v>14</v>
      </c>
    </row>
    <row r="179" spans="2:5" ht="30" customHeight="1" x14ac:dyDescent="0.25">
      <c r="B179" s="9" t="s">
        <v>532</v>
      </c>
      <c r="C179" s="9" t="s">
        <v>118</v>
      </c>
      <c r="D179" s="12">
        <v>0.05</v>
      </c>
      <c r="E179" s="15">
        <v>10</v>
      </c>
    </row>
    <row r="180" spans="2:5" ht="30" customHeight="1" x14ac:dyDescent="0.25">
      <c r="B180" s="9" t="s">
        <v>330</v>
      </c>
      <c r="C180" s="1" t="s">
        <v>119</v>
      </c>
      <c r="D180" s="12">
        <v>0.01</v>
      </c>
      <c r="E180" s="15">
        <v>50</v>
      </c>
    </row>
    <row r="181" spans="2:5" ht="30" customHeight="1" x14ac:dyDescent="0.25">
      <c r="B181" s="9" t="s">
        <v>181</v>
      </c>
      <c r="C181" s="9" t="s">
        <v>118</v>
      </c>
      <c r="D181" s="12">
        <v>0.2</v>
      </c>
      <c r="E181" s="15">
        <v>17</v>
      </c>
    </row>
    <row r="182" spans="2:5" ht="30" customHeight="1" x14ac:dyDescent="0.25">
      <c r="B182" s="9" t="s">
        <v>348</v>
      </c>
      <c r="C182" s="9" t="s">
        <v>120</v>
      </c>
      <c r="D182" s="12">
        <v>0.6</v>
      </c>
      <c r="E182" s="15">
        <v>500</v>
      </c>
    </row>
    <row r="183" spans="2:5" ht="30" customHeight="1" x14ac:dyDescent="0.25">
      <c r="B183" s="9" t="s">
        <v>393</v>
      </c>
      <c r="C183" s="9" t="s">
        <v>116</v>
      </c>
      <c r="D183" s="12">
        <v>0.5</v>
      </c>
      <c r="E183" s="15">
        <v>320</v>
      </c>
    </row>
    <row r="184" spans="2:5" ht="30" customHeight="1" x14ac:dyDescent="0.25">
      <c r="B184" s="9" t="s">
        <v>380</v>
      </c>
      <c r="C184" s="9" t="s">
        <v>120</v>
      </c>
      <c r="D184" s="12">
        <v>0.2</v>
      </c>
      <c r="E184" s="15">
        <v>500</v>
      </c>
    </row>
    <row r="185" spans="2:5" ht="30" customHeight="1" x14ac:dyDescent="0.25">
      <c r="B185" s="9" t="s">
        <v>328</v>
      </c>
      <c r="C185" s="1" t="s">
        <v>119</v>
      </c>
      <c r="D185" s="12">
        <v>0.01</v>
      </c>
      <c r="E185" s="15">
        <v>20</v>
      </c>
    </row>
    <row r="186" spans="2:5" ht="30" customHeight="1" x14ac:dyDescent="0.25">
      <c r="B186" s="9" t="s">
        <v>162</v>
      </c>
      <c r="C186" s="9" t="s">
        <v>118</v>
      </c>
      <c r="D186" s="12">
        <v>0.01</v>
      </c>
      <c r="E186" s="15">
        <v>7.0000000000000007E-2</v>
      </c>
    </row>
    <row r="187" spans="2:5" ht="30" customHeight="1" x14ac:dyDescent="0.25">
      <c r="B187" s="9" t="s">
        <v>381</v>
      </c>
      <c r="C187" s="9" t="s">
        <v>120</v>
      </c>
      <c r="D187" s="12">
        <v>1</v>
      </c>
      <c r="E187" s="15">
        <v>500</v>
      </c>
    </row>
    <row r="188" spans="2:5" ht="30" customHeight="1" x14ac:dyDescent="0.25">
      <c r="B188" s="9" t="s">
        <v>481</v>
      </c>
      <c r="C188" s="9" t="s">
        <v>118</v>
      </c>
      <c r="D188" s="12">
        <v>0.1</v>
      </c>
      <c r="E188" s="15">
        <v>10</v>
      </c>
    </row>
    <row r="189" spans="2:5" ht="30" customHeight="1" x14ac:dyDescent="0.25">
      <c r="B189" s="9" t="s">
        <v>159</v>
      </c>
      <c r="C189" s="1" t="s">
        <v>119</v>
      </c>
      <c r="D189" s="12">
        <v>0.02</v>
      </c>
      <c r="E189" s="15">
        <v>3</v>
      </c>
    </row>
    <row r="190" spans="2:5" ht="30" customHeight="1" x14ac:dyDescent="0.25">
      <c r="B190" s="9" t="s">
        <v>311</v>
      </c>
      <c r="C190" s="1" t="s">
        <v>119</v>
      </c>
      <c r="D190" s="12">
        <v>1</v>
      </c>
      <c r="E190" s="15">
        <v>18</v>
      </c>
    </row>
    <row r="191" spans="2:5" ht="30" customHeight="1" x14ac:dyDescent="0.25">
      <c r="B191" s="9" t="s">
        <v>349</v>
      </c>
      <c r="C191" s="9" t="s">
        <v>120</v>
      </c>
      <c r="D191" s="12">
        <v>1</v>
      </c>
      <c r="E191" s="15">
        <v>750</v>
      </c>
    </row>
    <row r="192" spans="2:5" ht="30" customHeight="1" x14ac:dyDescent="0.25">
      <c r="B192" s="9" t="s">
        <v>289</v>
      </c>
      <c r="C192" s="9" t="s">
        <v>117</v>
      </c>
      <c r="D192" s="12">
        <v>7.5</v>
      </c>
      <c r="E192" s="15">
        <v>3680</v>
      </c>
    </row>
    <row r="193" spans="2:5" ht="30" customHeight="1" x14ac:dyDescent="0.25">
      <c r="B193" s="9" t="s">
        <v>165</v>
      </c>
      <c r="C193" s="9" t="s">
        <v>116</v>
      </c>
      <c r="D193" s="12">
        <v>0.03</v>
      </c>
      <c r="E193" s="15">
        <v>50</v>
      </c>
    </row>
    <row r="194" spans="2:5" ht="30" customHeight="1" x14ac:dyDescent="0.25">
      <c r="B194" s="9" t="s">
        <v>397</v>
      </c>
      <c r="C194" s="9" t="s">
        <v>116</v>
      </c>
      <c r="D194" s="12">
        <v>3.5</v>
      </c>
      <c r="E194" s="15">
        <v>880</v>
      </c>
    </row>
    <row r="195" spans="2:5" ht="30" customHeight="1" x14ac:dyDescent="0.25">
      <c r="B195" s="9" t="s">
        <v>209</v>
      </c>
      <c r="C195" s="1" t="s">
        <v>119</v>
      </c>
      <c r="D195" s="12">
        <v>1</v>
      </c>
      <c r="E195" s="15">
        <v>90</v>
      </c>
    </row>
    <row r="196" spans="2:5" ht="30" customHeight="1" x14ac:dyDescent="0.25">
      <c r="B196" s="9" t="s">
        <v>285</v>
      </c>
      <c r="C196" s="9" t="s">
        <v>116</v>
      </c>
      <c r="D196" s="12">
        <v>0.8</v>
      </c>
      <c r="E196" s="15">
        <v>380</v>
      </c>
    </row>
    <row r="197" spans="2:5" ht="30" customHeight="1" x14ac:dyDescent="0.25">
      <c r="B197" s="9" t="s">
        <v>169</v>
      </c>
      <c r="C197" s="9" t="s">
        <v>116</v>
      </c>
      <c r="D197" s="12">
        <v>0.02</v>
      </c>
      <c r="E197" s="15">
        <v>50</v>
      </c>
    </row>
    <row r="198" spans="2:5" ht="30" customHeight="1" x14ac:dyDescent="0.25">
      <c r="B198" s="9" t="s">
        <v>290</v>
      </c>
      <c r="C198" s="9" t="s">
        <v>117</v>
      </c>
      <c r="D198" s="12">
        <v>2.5</v>
      </c>
      <c r="E198" s="15">
        <v>1110</v>
      </c>
    </row>
    <row r="199" spans="2:5" ht="30" customHeight="1" x14ac:dyDescent="0.25">
      <c r="B199" s="9" t="s">
        <v>392</v>
      </c>
      <c r="C199" s="9" t="s">
        <v>116</v>
      </c>
      <c r="D199" s="12">
        <v>3</v>
      </c>
      <c r="E199" s="15">
        <v>1530</v>
      </c>
    </row>
    <row r="200" spans="2:5" ht="30" customHeight="1" x14ac:dyDescent="0.25">
      <c r="B200" s="9" t="s">
        <v>283</v>
      </c>
      <c r="C200" s="9" t="s">
        <v>116</v>
      </c>
      <c r="D200" s="12">
        <v>0.2</v>
      </c>
      <c r="E200" s="15">
        <v>210</v>
      </c>
    </row>
    <row r="201" spans="2:5" ht="30" customHeight="1" x14ac:dyDescent="0.25">
      <c r="B201" s="9" t="s">
        <v>292</v>
      </c>
      <c r="C201" s="9" t="s">
        <v>117</v>
      </c>
      <c r="D201" s="12">
        <v>2.5</v>
      </c>
      <c r="E201" s="15">
        <v>1190</v>
      </c>
    </row>
    <row r="202" spans="2:5" ht="30" customHeight="1" x14ac:dyDescent="0.25">
      <c r="B202" s="9" t="s">
        <v>395</v>
      </c>
      <c r="C202" s="9" t="s">
        <v>116</v>
      </c>
      <c r="D202" s="12">
        <v>2</v>
      </c>
      <c r="E202" s="15">
        <v>430</v>
      </c>
    </row>
    <row r="203" spans="2:5" ht="30" customHeight="1" x14ac:dyDescent="0.25">
      <c r="B203" s="9" t="s">
        <v>288</v>
      </c>
      <c r="C203" s="9" t="s">
        <v>117</v>
      </c>
      <c r="D203" s="12">
        <v>2.5</v>
      </c>
      <c r="E203" s="15">
        <v>1170</v>
      </c>
    </row>
    <row r="204" spans="2:5" ht="30" customHeight="1" x14ac:dyDescent="0.25">
      <c r="B204" s="9" t="s">
        <v>398</v>
      </c>
      <c r="C204" s="9" t="s">
        <v>116</v>
      </c>
      <c r="D204" s="12">
        <v>2</v>
      </c>
      <c r="E204" s="15">
        <v>440</v>
      </c>
    </row>
    <row r="205" spans="2:5" ht="30" customHeight="1" x14ac:dyDescent="0.25">
      <c r="B205" s="9" t="s">
        <v>437</v>
      </c>
      <c r="C205" s="9" t="s">
        <v>117</v>
      </c>
      <c r="D205" s="12">
        <v>4</v>
      </c>
      <c r="E205" s="15">
        <v>440</v>
      </c>
    </row>
    <row r="206" spans="2:5" ht="30" customHeight="1" x14ac:dyDescent="0.25">
      <c r="B206" s="9" t="s">
        <v>282</v>
      </c>
      <c r="C206" s="9" t="s">
        <v>116</v>
      </c>
      <c r="D206" s="12">
        <v>0.5</v>
      </c>
      <c r="E206" s="15">
        <v>740</v>
      </c>
    </row>
    <row r="207" spans="2:5" ht="30" customHeight="1" x14ac:dyDescent="0.25">
      <c r="B207" s="9" t="s">
        <v>396</v>
      </c>
      <c r="C207" s="9" t="s">
        <v>116</v>
      </c>
      <c r="D207" s="12">
        <v>0.75</v>
      </c>
      <c r="E207" s="15">
        <v>440</v>
      </c>
    </row>
    <row r="208" spans="2:5" ht="30" customHeight="1" x14ac:dyDescent="0.25">
      <c r="B208" s="9" t="s">
        <v>291</v>
      </c>
      <c r="C208" s="9" t="s">
        <v>117</v>
      </c>
      <c r="D208" s="12">
        <v>5</v>
      </c>
      <c r="E208" s="15">
        <v>2500</v>
      </c>
    </row>
    <row r="209" spans="2:5" ht="30" customHeight="1" x14ac:dyDescent="0.25">
      <c r="B209" s="9" t="s">
        <v>286</v>
      </c>
      <c r="C209" s="9" t="s">
        <v>116</v>
      </c>
      <c r="D209" s="12">
        <v>1</v>
      </c>
      <c r="E209" s="15">
        <v>410</v>
      </c>
    </row>
    <row r="210" spans="2:5" ht="30" customHeight="1" x14ac:dyDescent="0.25">
      <c r="B210" s="9" t="s">
        <v>208</v>
      </c>
      <c r="C210" s="1" t="s">
        <v>119</v>
      </c>
      <c r="D210" s="12">
        <v>1</v>
      </c>
      <c r="E210" s="15">
        <v>17</v>
      </c>
    </row>
    <row r="211" spans="2:5" ht="30" customHeight="1" x14ac:dyDescent="0.25">
      <c r="B211" s="9" t="s">
        <v>287</v>
      </c>
      <c r="C211" s="9" t="s">
        <v>116</v>
      </c>
      <c r="D211" s="12">
        <v>1.5</v>
      </c>
      <c r="E211" s="15">
        <v>410</v>
      </c>
    </row>
    <row r="212" spans="2:5" ht="30" customHeight="1" x14ac:dyDescent="0.25">
      <c r="B212" s="9" t="s">
        <v>402</v>
      </c>
      <c r="C212" s="9" t="s">
        <v>116</v>
      </c>
      <c r="D212" s="12">
        <v>5</v>
      </c>
      <c r="E212" s="15">
        <v>880</v>
      </c>
    </row>
    <row r="213" spans="2:5" ht="30" customHeight="1" x14ac:dyDescent="0.25">
      <c r="B213" s="9" t="s">
        <v>401</v>
      </c>
      <c r="C213" s="9" t="s">
        <v>116</v>
      </c>
      <c r="D213" s="12">
        <v>4</v>
      </c>
      <c r="E213" s="15">
        <v>880</v>
      </c>
    </row>
    <row r="214" spans="2:5" ht="30" customHeight="1" x14ac:dyDescent="0.25">
      <c r="B214" s="9" t="s">
        <v>403</v>
      </c>
      <c r="C214" s="9" t="s">
        <v>116</v>
      </c>
      <c r="D214" s="12">
        <v>1</v>
      </c>
      <c r="E214" s="15">
        <v>210</v>
      </c>
    </row>
    <row r="215" spans="2:5" ht="30" customHeight="1" x14ac:dyDescent="0.25">
      <c r="B215" s="9" t="s">
        <v>399</v>
      </c>
      <c r="C215" s="9" t="s">
        <v>116</v>
      </c>
      <c r="D215" s="12">
        <v>3</v>
      </c>
      <c r="E215" s="15">
        <v>860</v>
      </c>
    </row>
    <row r="216" spans="2:5" ht="30" customHeight="1" x14ac:dyDescent="0.25">
      <c r="B216" s="9" t="s">
        <v>400</v>
      </c>
      <c r="C216" s="9" t="s">
        <v>116</v>
      </c>
      <c r="D216" s="12">
        <v>1.5</v>
      </c>
      <c r="E216" s="15">
        <v>440</v>
      </c>
    </row>
    <row r="217" spans="2:5" ht="30" customHeight="1" x14ac:dyDescent="0.25">
      <c r="B217" s="9" t="s">
        <v>394</v>
      </c>
      <c r="C217" s="9" t="s">
        <v>116</v>
      </c>
      <c r="D217" s="12">
        <v>2</v>
      </c>
      <c r="E217" s="15">
        <v>610</v>
      </c>
    </row>
    <row r="218" spans="2:5" ht="30" customHeight="1" x14ac:dyDescent="0.25">
      <c r="B218" s="9" t="s">
        <v>284</v>
      </c>
      <c r="C218" s="9" t="s">
        <v>116</v>
      </c>
      <c r="D218" s="12">
        <v>1.25</v>
      </c>
      <c r="E218" s="15">
        <v>410</v>
      </c>
    </row>
    <row r="219" spans="2:5" ht="30" customHeight="1" x14ac:dyDescent="0.25">
      <c r="B219" s="9" t="s">
        <v>382</v>
      </c>
      <c r="C219" s="9" t="s">
        <v>120</v>
      </c>
      <c r="D219" s="12">
        <v>0.3</v>
      </c>
      <c r="E219" s="15">
        <v>1000</v>
      </c>
    </row>
    <row r="220" spans="2:5" ht="30" customHeight="1" x14ac:dyDescent="0.25">
      <c r="B220" s="9" t="s">
        <v>350</v>
      </c>
      <c r="C220" s="9" t="s">
        <v>120</v>
      </c>
      <c r="D220" s="12">
        <v>1.5</v>
      </c>
      <c r="E220" s="15">
        <v>1000</v>
      </c>
    </row>
    <row r="221" spans="2:5" ht="30" customHeight="1" x14ac:dyDescent="0.25">
      <c r="B221" s="9" t="s">
        <v>351</v>
      </c>
      <c r="C221" s="9" t="s">
        <v>120</v>
      </c>
      <c r="D221" s="12">
        <v>0.4</v>
      </c>
      <c r="E221" s="15">
        <v>1000</v>
      </c>
    </row>
    <row r="222" spans="2:5" ht="30" customHeight="1" x14ac:dyDescent="0.25">
      <c r="B222" s="9" t="s">
        <v>432</v>
      </c>
      <c r="C222" s="9" t="s">
        <v>117</v>
      </c>
      <c r="D222" s="12">
        <v>1</v>
      </c>
      <c r="E222" s="15">
        <v>440</v>
      </c>
    </row>
    <row r="223" spans="2:5" ht="30" customHeight="1" x14ac:dyDescent="0.25">
      <c r="B223" s="9" t="s">
        <v>436</v>
      </c>
      <c r="C223" s="9" t="s">
        <v>117</v>
      </c>
      <c r="D223" s="12">
        <v>4</v>
      </c>
      <c r="E223" s="15">
        <v>1160</v>
      </c>
    </row>
    <row r="224" spans="2:5" ht="30" customHeight="1" x14ac:dyDescent="0.25">
      <c r="B224" s="9" t="s">
        <v>337</v>
      </c>
      <c r="C224" s="9" t="s">
        <v>120</v>
      </c>
      <c r="D224" s="12">
        <v>1.2</v>
      </c>
      <c r="E224" s="15">
        <v>8</v>
      </c>
    </row>
    <row r="225" spans="2:5" ht="30" customHeight="1" x14ac:dyDescent="0.25">
      <c r="B225" s="9" t="s">
        <v>531</v>
      </c>
      <c r="C225" s="9" t="s">
        <v>118</v>
      </c>
      <c r="D225" s="12">
        <v>0.15</v>
      </c>
      <c r="E225" s="15">
        <v>50</v>
      </c>
    </row>
    <row r="226" spans="2:5" ht="30" customHeight="1" x14ac:dyDescent="0.25">
      <c r="B226" s="9" t="s">
        <v>16</v>
      </c>
      <c r="C226" s="1" t="s">
        <v>119</v>
      </c>
      <c r="D226" s="12">
        <v>0.2</v>
      </c>
      <c r="E226" s="15">
        <v>8</v>
      </c>
    </row>
    <row r="227" spans="2:5" ht="30" customHeight="1" x14ac:dyDescent="0.25">
      <c r="B227" s="9" t="s">
        <v>383</v>
      </c>
      <c r="C227" s="9" t="s">
        <v>120</v>
      </c>
      <c r="D227" s="12">
        <v>0.2</v>
      </c>
      <c r="E227" s="15">
        <v>500</v>
      </c>
    </row>
    <row r="228" spans="2:5" ht="30" customHeight="1" x14ac:dyDescent="0.25">
      <c r="B228" s="9" t="s">
        <v>458</v>
      </c>
      <c r="C228" s="9" t="s">
        <v>117</v>
      </c>
      <c r="D228" s="12">
        <v>0.6</v>
      </c>
      <c r="E228" s="15">
        <v>720</v>
      </c>
    </row>
    <row r="229" spans="2:5" ht="30" customHeight="1" x14ac:dyDescent="0.25">
      <c r="B229" s="9" t="s">
        <v>421</v>
      </c>
      <c r="C229" s="9" t="s">
        <v>117</v>
      </c>
      <c r="D229" s="12">
        <v>0.15</v>
      </c>
      <c r="E229" s="15">
        <v>680</v>
      </c>
    </row>
    <row r="230" spans="2:5" ht="30" customHeight="1" x14ac:dyDescent="0.25">
      <c r="B230" s="9" t="s">
        <v>428</v>
      </c>
      <c r="C230" s="9" t="s">
        <v>117</v>
      </c>
      <c r="D230" s="12">
        <v>0.15</v>
      </c>
      <c r="E230" s="15">
        <v>730</v>
      </c>
    </row>
    <row r="231" spans="2:5" ht="30" customHeight="1" x14ac:dyDescent="0.25">
      <c r="B231" s="9" t="s">
        <v>459</v>
      </c>
      <c r="C231" s="9" t="s">
        <v>117</v>
      </c>
      <c r="D231" s="12">
        <v>0.4</v>
      </c>
      <c r="E231" s="15">
        <v>700</v>
      </c>
    </row>
    <row r="232" spans="2:5" ht="30" customHeight="1" x14ac:dyDescent="0.25">
      <c r="B232" s="9" t="s">
        <v>411</v>
      </c>
      <c r="C232" s="9" t="s">
        <v>117</v>
      </c>
      <c r="D232" s="12">
        <v>0.3</v>
      </c>
      <c r="E232" s="15">
        <v>720</v>
      </c>
    </row>
    <row r="233" spans="2:5" ht="30" customHeight="1" x14ac:dyDescent="0.25">
      <c r="B233" s="9" t="s">
        <v>313</v>
      </c>
      <c r="C233" s="1" t="s">
        <v>119</v>
      </c>
      <c r="D233" s="12">
        <v>1</v>
      </c>
      <c r="E233" s="15">
        <v>2</v>
      </c>
    </row>
    <row r="234" spans="2:5" ht="30" customHeight="1" x14ac:dyDescent="0.25">
      <c r="B234" s="9" t="s">
        <v>240</v>
      </c>
      <c r="C234" s="1" t="s">
        <v>119</v>
      </c>
      <c r="D234" s="12">
        <v>0.1</v>
      </c>
      <c r="E234" s="15">
        <v>80</v>
      </c>
    </row>
    <row r="235" spans="2:5" ht="30" customHeight="1" x14ac:dyDescent="0.25">
      <c r="B235" s="9" t="s">
        <v>153</v>
      </c>
      <c r="C235" s="1" t="s">
        <v>119</v>
      </c>
      <c r="D235" s="12">
        <v>0.1</v>
      </c>
      <c r="E235" s="15">
        <v>40</v>
      </c>
    </row>
    <row r="236" spans="2:5" ht="30" customHeight="1" x14ac:dyDescent="0.25">
      <c r="B236" s="9" t="s">
        <v>384</v>
      </c>
      <c r="C236" s="9" t="s">
        <v>120</v>
      </c>
      <c r="D236" s="12">
        <v>0.5</v>
      </c>
      <c r="E236" s="15">
        <v>750</v>
      </c>
    </row>
    <row r="237" spans="2:5" ht="30" customHeight="1" x14ac:dyDescent="0.25">
      <c r="B237" s="1" t="s">
        <v>13</v>
      </c>
      <c r="C237" s="1" t="s">
        <v>119</v>
      </c>
      <c r="D237" s="16">
        <v>2</v>
      </c>
      <c r="E237" s="14">
        <v>1</v>
      </c>
    </row>
    <row r="238" spans="2:5" ht="30" customHeight="1" x14ac:dyDescent="0.25">
      <c r="B238" s="9" t="s">
        <v>177</v>
      </c>
      <c r="C238" s="9" t="s">
        <v>116</v>
      </c>
      <c r="D238" s="12">
        <v>1.5</v>
      </c>
      <c r="E238" s="15">
        <v>370</v>
      </c>
    </row>
    <row r="239" spans="2:5" ht="30" customHeight="1" x14ac:dyDescent="0.25">
      <c r="B239" s="9" t="s">
        <v>358</v>
      </c>
      <c r="C239" s="9" t="s">
        <v>120</v>
      </c>
      <c r="D239" s="12">
        <v>0.1</v>
      </c>
      <c r="E239" s="15">
        <v>750</v>
      </c>
    </row>
    <row r="240" spans="2:5" ht="30" customHeight="1" x14ac:dyDescent="0.25">
      <c r="B240" s="9" t="s">
        <v>327</v>
      </c>
      <c r="C240" s="1" t="s">
        <v>119</v>
      </c>
      <c r="D240" s="12">
        <v>1</v>
      </c>
      <c r="E240" s="15">
        <v>200</v>
      </c>
    </row>
    <row r="241" spans="2:5" ht="30" customHeight="1" x14ac:dyDescent="0.25">
      <c r="B241" s="9" t="s">
        <v>352</v>
      </c>
      <c r="C241" s="9" t="s">
        <v>120</v>
      </c>
      <c r="D241" s="12">
        <v>1.2</v>
      </c>
      <c r="E241" s="15">
        <v>1000</v>
      </c>
    </row>
    <row r="242" spans="2:5" ht="30" customHeight="1" x14ac:dyDescent="0.25">
      <c r="B242" s="9" t="s">
        <v>114</v>
      </c>
      <c r="C242" s="1" t="s">
        <v>119</v>
      </c>
      <c r="D242" s="12">
        <v>0.25</v>
      </c>
      <c r="E242" s="15">
        <v>0.9</v>
      </c>
    </row>
    <row r="243" spans="2:5" ht="30" customHeight="1" x14ac:dyDescent="0.25">
      <c r="B243" s="9" t="s">
        <v>334</v>
      </c>
      <c r="C243" s="1" t="s">
        <v>119</v>
      </c>
      <c r="D243" s="12">
        <v>1</v>
      </c>
      <c r="E243" s="15">
        <v>40</v>
      </c>
    </row>
    <row r="244" spans="2:5" ht="30" customHeight="1" x14ac:dyDescent="0.25">
      <c r="B244" s="9" t="s">
        <v>385</v>
      </c>
      <c r="C244" s="9" t="s">
        <v>120</v>
      </c>
      <c r="D244" s="12">
        <v>0.05</v>
      </c>
      <c r="E244" s="15">
        <v>500</v>
      </c>
    </row>
    <row r="245" spans="2:5" ht="30" customHeight="1" x14ac:dyDescent="0.25">
      <c r="B245" s="9" t="s">
        <v>517</v>
      </c>
      <c r="C245" s="9" t="s">
        <v>118</v>
      </c>
      <c r="D245" s="12">
        <v>1</v>
      </c>
      <c r="E245" s="15">
        <v>210</v>
      </c>
    </row>
    <row r="246" spans="2:5" ht="30" customHeight="1" x14ac:dyDescent="0.25">
      <c r="B246" s="9" t="s">
        <v>317</v>
      </c>
      <c r="C246" s="1" t="s">
        <v>119</v>
      </c>
      <c r="D246" s="12">
        <v>0.3</v>
      </c>
      <c r="E246" s="15">
        <v>6</v>
      </c>
    </row>
    <row r="247" spans="2:5" ht="30" customHeight="1" x14ac:dyDescent="0.25">
      <c r="B247" s="9" t="s">
        <v>24</v>
      </c>
      <c r="C247" s="9" t="s">
        <v>118</v>
      </c>
      <c r="D247" s="12">
        <v>0.2</v>
      </c>
      <c r="E247" s="15">
        <v>3</v>
      </c>
    </row>
    <row r="248" spans="2:5" ht="30" customHeight="1" x14ac:dyDescent="0.25">
      <c r="B248" s="9" t="s">
        <v>499</v>
      </c>
      <c r="C248" s="9" t="s">
        <v>118</v>
      </c>
      <c r="D248" s="12">
        <v>1</v>
      </c>
      <c r="E248" s="15">
        <v>110</v>
      </c>
    </row>
    <row r="249" spans="2:5" ht="30" customHeight="1" x14ac:dyDescent="0.25">
      <c r="B249" s="9" t="s">
        <v>496</v>
      </c>
      <c r="C249" s="9" t="s">
        <v>118</v>
      </c>
      <c r="D249" s="12">
        <v>0.3</v>
      </c>
      <c r="E249" s="15">
        <v>60</v>
      </c>
    </row>
    <row r="250" spans="2:5" ht="30" customHeight="1" x14ac:dyDescent="0.25">
      <c r="B250" s="9" t="s">
        <v>185</v>
      </c>
      <c r="C250" s="9" t="s">
        <v>118</v>
      </c>
      <c r="D250" s="12">
        <v>0.55000000000000004</v>
      </c>
      <c r="E250" s="15">
        <v>23</v>
      </c>
    </row>
    <row r="251" spans="2:5" ht="30" customHeight="1" x14ac:dyDescent="0.25">
      <c r="B251" s="9" t="s">
        <v>301</v>
      </c>
      <c r="C251" s="9" t="s">
        <v>120</v>
      </c>
      <c r="D251" s="12">
        <v>0.8</v>
      </c>
      <c r="E251" s="15">
        <v>5</v>
      </c>
    </row>
    <row r="252" spans="2:5" ht="30" customHeight="1" x14ac:dyDescent="0.25">
      <c r="B252" s="9" t="s">
        <v>362</v>
      </c>
      <c r="C252" s="9" t="s">
        <v>120</v>
      </c>
      <c r="D252" s="12">
        <v>4</v>
      </c>
      <c r="E252" s="15">
        <v>20</v>
      </c>
    </row>
    <row r="253" spans="2:5" ht="30" customHeight="1" x14ac:dyDescent="0.25">
      <c r="B253" s="9" t="s">
        <v>485</v>
      </c>
      <c r="C253" s="9" t="s">
        <v>118</v>
      </c>
      <c r="D253" s="12">
        <v>0.1</v>
      </c>
      <c r="E253" s="15">
        <v>0.6</v>
      </c>
    </row>
    <row r="254" spans="2:5" ht="30" customHeight="1" x14ac:dyDescent="0.25">
      <c r="B254" s="9" t="s">
        <v>491</v>
      </c>
      <c r="C254" s="9" t="s">
        <v>118</v>
      </c>
      <c r="D254" s="12">
        <v>0.4</v>
      </c>
      <c r="E254" s="15">
        <v>50</v>
      </c>
    </row>
    <row r="255" spans="2:5" ht="30" customHeight="1" x14ac:dyDescent="0.25">
      <c r="B255" s="9" t="s">
        <v>186</v>
      </c>
      <c r="C255" s="9" t="s">
        <v>118</v>
      </c>
      <c r="D255" s="12">
        <v>0.2</v>
      </c>
      <c r="E255" s="15">
        <v>11</v>
      </c>
    </row>
    <row r="256" spans="2:5" ht="30" customHeight="1" x14ac:dyDescent="0.25">
      <c r="B256" s="9" t="s">
        <v>353</v>
      </c>
      <c r="C256" s="9" t="s">
        <v>120</v>
      </c>
      <c r="D256" s="12">
        <v>7.0000000000000007E-2</v>
      </c>
      <c r="E256" s="15">
        <v>750</v>
      </c>
    </row>
    <row r="257" spans="2:5" ht="30" customHeight="1" x14ac:dyDescent="0.25">
      <c r="B257" s="9" t="s">
        <v>441</v>
      </c>
      <c r="C257" s="9" t="s">
        <v>117</v>
      </c>
      <c r="D257" s="12">
        <v>0.7</v>
      </c>
      <c r="E257" s="15">
        <v>1410</v>
      </c>
    </row>
    <row r="258" spans="2:5" ht="30" customHeight="1" x14ac:dyDescent="0.25">
      <c r="B258" s="9" t="s">
        <v>418</v>
      </c>
      <c r="C258" s="9" t="s">
        <v>117</v>
      </c>
      <c r="D258" s="12">
        <v>0.1</v>
      </c>
      <c r="E258" s="15">
        <v>1240</v>
      </c>
    </row>
    <row r="259" spans="2:5" ht="30" customHeight="1" x14ac:dyDescent="0.25">
      <c r="B259" s="9" t="s">
        <v>439</v>
      </c>
      <c r="C259" s="9" t="s">
        <v>117</v>
      </c>
      <c r="D259" s="12">
        <v>0.5</v>
      </c>
      <c r="E259" s="15">
        <v>1400</v>
      </c>
    </row>
    <row r="260" spans="2:5" ht="30" customHeight="1" x14ac:dyDescent="0.25">
      <c r="B260" s="9" t="s">
        <v>416</v>
      </c>
      <c r="C260" s="9" t="s">
        <v>117</v>
      </c>
      <c r="D260" s="12">
        <v>0.5</v>
      </c>
      <c r="E260" s="15">
        <v>1000</v>
      </c>
    </row>
    <row r="261" spans="2:5" ht="30" customHeight="1" x14ac:dyDescent="0.25">
      <c r="B261" s="9" t="s">
        <v>440</v>
      </c>
      <c r="C261" s="9" t="s">
        <v>117</v>
      </c>
      <c r="D261" s="12">
        <v>0.6</v>
      </c>
      <c r="E261" s="15">
        <v>1410</v>
      </c>
    </row>
    <row r="262" spans="2:5" ht="30" customHeight="1" x14ac:dyDescent="0.25">
      <c r="B262" s="9" t="s">
        <v>429</v>
      </c>
      <c r="C262" s="9" t="s">
        <v>117</v>
      </c>
      <c r="D262" s="12">
        <v>0.15</v>
      </c>
      <c r="E262" s="15">
        <v>900</v>
      </c>
    </row>
    <row r="263" spans="2:5" ht="30" customHeight="1" x14ac:dyDescent="0.25">
      <c r="B263" s="9" t="s">
        <v>101</v>
      </c>
      <c r="C263" s="1" t="s">
        <v>119</v>
      </c>
      <c r="D263" s="12">
        <v>0.06</v>
      </c>
      <c r="E263" s="15">
        <v>6</v>
      </c>
    </row>
    <row r="264" spans="2:5" ht="30" customHeight="1" x14ac:dyDescent="0.25">
      <c r="B264" s="9" t="s">
        <v>518</v>
      </c>
      <c r="C264" s="9" t="s">
        <v>118</v>
      </c>
      <c r="D264" s="12">
        <v>1</v>
      </c>
      <c r="E264" s="15">
        <v>100</v>
      </c>
    </row>
    <row r="265" spans="2:5" ht="30" customHeight="1" x14ac:dyDescent="0.25">
      <c r="B265" s="9" t="s">
        <v>519</v>
      </c>
      <c r="C265" s="9" t="s">
        <v>118</v>
      </c>
      <c r="D265" s="12">
        <v>1</v>
      </c>
      <c r="E265" s="15">
        <v>150</v>
      </c>
    </row>
    <row r="266" spans="2:5" ht="30" customHeight="1" x14ac:dyDescent="0.25">
      <c r="B266" s="9" t="s">
        <v>102</v>
      </c>
      <c r="C266" s="1" t="s">
        <v>119</v>
      </c>
      <c r="D266" s="12">
        <v>0.01</v>
      </c>
      <c r="E266" s="15">
        <v>4</v>
      </c>
    </row>
    <row r="267" spans="2:5" ht="30" customHeight="1" x14ac:dyDescent="0.25">
      <c r="B267" s="9" t="s">
        <v>488</v>
      </c>
      <c r="C267" s="9" t="s">
        <v>118</v>
      </c>
      <c r="D267" s="12">
        <v>0.2</v>
      </c>
      <c r="E267" s="15">
        <v>18</v>
      </c>
    </row>
    <row r="268" spans="2:5" ht="30" customHeight="1" x14ac:dyDescent="0.25">
      <c r="B268" s="9" t="s">
        <v>386</v>
      </c>
      <c r="C268" s="9" t="s">
        <v>120</v>
      </c>
      <c r="D268" s="12">
        <v>0.7</v>
      </c>
      <c r="E268" s="15">
        <v>750</v>
      </c>
    </row>
    <row r="269" spans="2:5" ht="30" customHeight="1" x14ac:dyDescent="0.25">
      <c r="B269" s="9" t="s">
        <v>171</v>
      </c>
      <c r="C269" s="9" t="s">
        <v>118</v>
      </c>
      <c r="D269" s="12">
        <v>0.1</v>
      </c>
      <c r="E269" s="15">
        <v>3</v>
      </c>
    </row>
    <row r="270" spans="2:5" ht="30" customHeight="1" x14ac:dyDescent="0.25">
      <c r="B270" s="9" t="s">
        <v>306</v>
      </c>
      <c r="C270" s="1" t="s">
        <v>119</v>
      </c>
      <c r="D270" s="12">
        <v>0.01</v>
      </c>
      <c r="E270" s="15">
        <v>5</v>
      </c>
    </row>
    <row r="271" spans="2:5" ht="30" customHeight="1" x14ac:dyDescent="0.25">
      <c r="B271" s="9" t="s">
        <v>321</v>
      </c>
      <c r="C271" s="1" t="s">
        <v>119</v>
      </c>
      <c r="D271" s="12">
        <v>0.1</v>
      </c>
      <c r="E271" s="15">
        <v>130</v>
      </c>
    </row>
    <row r="272" spans="2:5" ht="30" customHeight="1" x14ac:dyDescent="0.25">
      <c r="B272" s="9" t="s">
        <v>438</v>
      </c>
      <c r="C272" s="9" t="s">
        <v>117</v>
      </c>
      <c r="D272" s="12">
        <v>4</v>
      </c>
      <c r="E272" s="15">
        <v>1440</v>
      </c>
    </row>
    <row r="273" spans="2:5" ht="30" customHeight="1" x14ac:dyDescent="0.25">
      <c r="B273" s="9" t="s">
        <v>387</v>
      </c>
      <c r="C273" s="9" t="s">
        <v>120</v>
      </c>
      <c r="D273" s="12">
        <v>1</v>
      </c>
      <c r="E273" s="15">
        <v>1000</v>
      </c>
    </row>
    <row r="274" spans="2:5" ht="30" customHeight="1" x14ac:dyDescent="0.25">
      <c r="B274" s="9" t="s">
        <v>388</v>
      </c>
      <c r="C274" s="9" t="s">
        <v>120</v>
      </c>
      <c r="D274" s="12">
        <v>0.3</v>
      </c>
      <c r="E274" s="15">
        <v>750</v>
      </c>
    </row>
    <row r="275" spans="2:5" ht="30" customHeight="1" x14ac:dyDescent="0.25">
      <c r="B275" s="9" t="s">
        <v>198</v>
      </c>
      <c r="C275" s="9" t="s">
        <v>118</v>
      </c>
      <c r="D275" s="12">
        <v>0.1</v>
      </c>
      <c r="E275" s="15">
        <v>0.6</v>
      </c>
    </row>
    <row r="276" spans="2:5" ht="30" customHeight="1" x14ac:dyDescent="0.25">
      <c r="B276" s="9" t="s">
        <v>478</v>
      </c>
      <c r="C276" s="9" t="s">
        <v>118</v>
      </c>
      <c r="D276" s="12">
        <v>0.1</v>
      </c>
      <c r="E276" s="15">
        <v>4</v>
      </c>
    </row>
    <row r="277" spans="2:5" ht="30" customHeight="1" x14ac:dyDescent="0.25">
      <c r="B277" s="9" t="s">
        <v>510</v>
      </c>
      <c r="C277" s="9" t="s">
        <v>118</v>
      </c>
      <c r="D277" s="12">
        <v>1</v>
      </c>
      <c r="E277" s="15">
        <v>100</v>
      </c>
    </row>
    <row r="278" spans="2:5" ht="30" customHeight="1" x14ac:dyDescent="0.25">
      <c r="B278" s="9" t="s">
        <v>497</v>
      </c>
      <c r="C278" s="9" t="s">
        <v>118</v>
      </c>
      <c r="D278" s="12">
        <v>0.3</v>
      </c>
      <c r="E278" s="15">
        <v>80</v>
      </c>
    </row>
    <row r="279" spans="2:5" ht="30" customHeight="1" x14ac:dyDescent="0.25">
      <c r="B279" s="9" t="s">
        <v>307</v>
      </c>
      <c r="C279" s="1" t="s">
        <v>119</v>
      </c>
      <c r="D279" s="12">
        <v>1</v>
      </c>
      <c r="E279" s="15">
        <v>17</v>
      </c>
    </row>
    <row r="280" spans="2:5" ht="30" customHeight="1" x14ac:dyDescent="0.25">
      <c r="B280" s="9" t="s">
        <v>515</v>
      </c>
      <c r="C280" s="9" t="s">
        <v>118</v>
      </c>
      <c r="D280" s="12">
        <v>1</v>
      </c>
      <c r="E280" s="15">
        <v>240</v>
      </c>
    </row>
    <row r="281" spans="2:5" ht="30" customHeight="1" x14ac:dyDescent="0.25">
      <c r="B281" s="9" t="s">
        <v>31</v>
      </c>
      <c r="C281" s="9" t="s">
        <v>118</v>
      </c>
      <c r="D281" s="12">
        <v>0.8</v>
      </c>
      <c r="E281" s="15">
        <v>21</v>
      </c>
    </row>
    <row r="282" spans="2:5" ht="30" customHeight="1" x14ac:dyDescent="0.25">
      <c r="B282" s="9" t="s">
        <v>354</v>
      </c>
      <c r="C282" s="9" t="s">
        <v>120</v>
      </c>
      <c r="D282" s="12">
        <v>1</v>
      </c>
      <c r="E282" s="15">
        <v>500</v>
      </c>
    </row>
    <row r="283" spans="2:5" ht="30" customHeight="1" x14ac:dyDescent="0.25">
      <c r="B283" s="9" t="s">
        <v>32</v>
      </c>
      <c r="C283" s="9" t="s">
        <v>118</v>
      </c>
      <c r="D283" s="12">
        <v>1.4</v>
      </c>
      <c r="E283" s="15">
        <v>36</v>
      </c>
    </row>
    <row r="284" spans="2:5" ht="30" customHeight="1" x14ac:dyDescent="0.25">
      <c r="B284" s="9" t="s">
        <v>389</v>
      </c>
      <c r="C284" s="9" t="s">
        <v>120</v>
      </c>
      <c r="D284" s="12">
        <v>0.2</v>
      </c>
      <c r="E284" s="15">
        <v>500</v>
      </c>
    </row>
    <row r="285" spans="2:5" ht="30" customHeight="1" x14ac:dyDescent="0.25">
      <c r="B285" s="9" t="s">
        <v>95</v>
      </c>
      <c r="C285" s="1" t="s">
        <v>119</v>
      </c>
      <c r="D285" s="12">
        <v>1</v>
      </c>
      <c r="E285" s="15">
        <v>2</v>
      </c>
    </row>
    <row r="286" spans="2:5" ht="30" customHeight="1" x14ac:dyDescent="0.25">
      <c r="B286" s="9" t="s">
        <v>479</v>
      </c>
      <c r="C286" s="9" t="s">
        <v>118</v>
      </c>
      <c r="D286" s="12">
        <v>7.0000000000000007E-2</v>
      </c>
      <c r="E286" s="15">
        <v>3</v>
      </c>
    </row>
    <row r="287" spans="2:5" ht="30" customHeight="1" x14ac:dyDescent="0.25">
      <c r="B287" s="9" t="s">
        <v>511</v>
      </c>
      <c r="C287" s="9" t="s">
        <v>118</v>
      </c>
      <c r="D287" s="12">
        <v>1</v>
      </c>
      <c r="E287" s="15">
        <v>130</v>
      </c>
    </row>
    <row r="288" spans="2:5" ht="30" customHeight="1" x14ac:dyDescent="0.25">
      <c r="B288" s="9" t="s">
        <v>498</v>
      </c>
      <c r="C288" s="9" t="s">
        <v>118</v>
      </c>
      <c r="D288" s="12">
        <v>0.3</v>
      </c>
      <c r="E288" s="15">
        <v>100</v>
      </c>
    </row>
    <row r="289" spans="2:5" ht="30" customHeight="1" x14ac:dyDescent="0.25">
      <c r="B289" s="9" t="s">
        <v>309</v>
      </c>
      <c r="C289" s="1" t="s">
        <v>119</v>
      </c>
      <c r="D289" s="12">
        <v>1</v>
      </c>
      <c r="E289" s="15">
        <v>17</v>
      </c>
    </row>
    <row r="290" spans="2:5" ht="30" customHeight="1" x14ac:dyDescent="0.25">
      <c r="B290" s="9" t="s">
        <v>516</v>
      </c>
      <c r="C290" s="9" t="s">
        <v>118</v>
      </c>
      <c r="D290" s="12">
        <v>1</v>
      </c>
      <c r="E290" s="15">
        <v>320</v>
      </c>
    </row>
    <row r="291" spans="2:5" ht="30" customHeight="1" x14ac:dyDescent="0.25">
      <c r="B291" s="9" t="s">
        <v>139</v>
      </c>
      <c r="C291" s="9" t="s">
        <v>118</v>
      </c>
      <c r="D291" s="12">
        <v>0.2</v>
      </c>
      <c r="E291" s="15">
        <v>8</v>
      </c>
    </row>
    <row r="292" spans="2:5" ht="30" customHeight="1" x14ac:dyDescent="0.25">
      <c r="B292" s="9" t="s">
        <v>145</v>
      </c>
      <c r="C292" s="9" t="s">
        <v>116</v>
      </c>
      <c r="D292" s="12">
        <v>0.03</v>
      </c>
      <c r="E292" s="15">
        <v>70</v>
      </c>
    </row>
    <row r="293" spans="2:5" ht="30" customHeight="1" x14ac:dyDescent="0.25">
      <c r="B293" s="9" t="s">
        <v>149</v>
      </c>
      <c r="C293" s="9" t="s">
        <v>116</v>
      </c>
      <c r="D293" s="12">
        <v>0.02</v>
      </c>
      <c r="E293" s="15">
        <v>70</v>
      </c>
    </row>
    <row r="294" spans="2:5" ht="30" customHeight="1" x14ac:dyDescent="0.25">
      <c r="B294" s="9" t="s">
        <v>144</v>
      </c>
      <c r="C294" s="9" t="s">
        <v>116</v>
      </c>
      <c r="D294" s="12">
        <v>0.03</v>
      </c>
      <c r="E294" s="15">
        <v>26</v>
      </c>
    </row>
    <row r="295" spans="2:5" ht="30" customHeight="1" x14ac:dyDescent="0.25">
      <c r="B295" s="9" t="s">
        <v>148</v>
      </c>
      <c r="C295" s="9" t="s">
        <v>116</v>
      </c>
      <c r="D295" s="12">
        <v>0.02</v>
      </c>
      <c r="E295" s="15">
        <v>26</v>
      </c>
    </row>
    <row r="296" spans="2:5" ht="30" customHeight="1" x14ac:dyDescent="0.25">
      <c r="B296" s="9" t="s">
        <v>146</v>
      </c>
      <c r="C296" s="9" t="s">
        <v>116</v>
      </c>
      <c r="D296" s="12">
        <v>0.03</v>
      </c>
      <c r="E296" s="15">
        <v>100</v>
      </c>
    </row>
    <row r="297" spans="2:5" ht="30" customHeight="1" x14ac:dyDescent="0.25">
      <c r="B297" s="9" t="s">
        <v>150</v>
      </c>
      <c r="C297" s="9" t="s">
        <v>116</v>
      </c>
      <c r="D297" s="12">
        <v>0.02</v>
      </c>
      <c r="E297" s="15">
        <v>100</v>
      </c>
    </row>
    <row r="298" spans="2:5" ht="30" customHeight="1" x14ac:dyDescent="0.25">
      <c r="B298" s="9" t="s">
        <v>143</v>
      </c>
      <c r="C298" s="9" t="s">
        <v>116</v>
      </c>
      <c r="D298" s="12">
        <v>0.03</v>
      </c>
      <c r="E298" s="15">
        <v>8</v>
      </c>
    </row>
    <row r="299" spans="2:5" ht="30" customHeight="1" x14ac:dyDescent="0.25">
      <c r="B299" s="9" t="s">
        <v>147</v>
      </c>
      <c r="C299" s="9" t="s">
        <v>116</v>
      </c>
      <c r="D299" s="12">
        <v>0.02</v>
      </c>
      <c r="E299" s="15">
        <v>7</v>
      </c>
    </row>
    <row r="300" spans="2:5" ht="30" customHeight="1" x14ac:dyDescent="0.25">
      <c r="B300" s="9" t="s">
        <v>112</v>
      </c>
      <c r="C300" s="1" t="s">
        <v>119</v>
      </c>
      <c r="D300" s="12">
        <v>0.05</v>
      </c>
      <c r="E300" s="15">
        <v>6</v>
      </c>
    </row>
    <row r="301" spans="2:5" ht="30" customHeight="1" x14ac:dyDescent="0.25">
      <c r="B301" s="9" t="s">
        <v>113</v>
      </c>
      <c r="C301" s="1" t="s">
        <v>119</v>
      </c>
      <c r="D301" s="12">
        <v>0.01</v>
      </c>
      <c r="E301" s="15">
        <v>3</v>
      </c>
    </row>
    <row r="302" spans="2:5" ht="30" customHeight="1" x14ac:dyDescent="0.25">
      <c r="B302" s="9" t="s">
        <v>502</v>
      </c>
      <c r="C302" s="9" t="s">
        <v>118</v>
      </c>
      <c r="D302" s="12">
        <v>1</v>
      </c>
      <c r="E302" s="15">
        <v>120</v>
      </c>
    </row>
    <row r="303" spans="2:5" ht="30" customHeight="1" x14ac:dyDescent="0.25">
      <c r="B303" s="9" t="s">
        <v>180</v>
      </c>
      <c r="C303" s="9" t="s">
        <v>118</v>
      </c>
      <c r="D303" s="12">
        <v>0.2</v>
      </c>
      <c r="E303" s="15">
        <v>17</v>
      </c>
    </row>
    <row r="304" spans="2:5" ht="30" customHeight="1" x14ac:dyDescent="0.25">
      <c r="B304" s="9" t="s">
        <v>503</v>
      </c>
      <c r="C304" s="9" t="s">
        <v>118</v>
      </c>
      <c r="D304" s="12">
        <v>0.25</v>
      </c>
      <c r="E304" s="15">
        <v>39</v>
      </c>
    </row>
    <row r="305" spans="2:5" ht="30" customHeight="1" x14ac:dyDescent="0.25">
      <c r="B305" s="9" t="s">
        <v>504</v>
      </c>
      <c r="C305" s="9" t="s">
        <v>118</v>
      </c>
      <c r="D305" s="12">
        <v>0.25</v>
      </c>
      <c r="E305" s="15">
        <v>28</v>
      </c>
    </row>
    <row r="306" spans="2:5" ht="30" customHeight="1" x14ac:dyDescent="0.25">
      <c r="B306" s="9" t="s">
        <v>182</v>
      </c>
      <c r="C306" s="9" t="s">
        <v>118</v>
      </c>
      <c r="D306" s="12">
        <v>0.7</v>
      </c>
      <c r="E306" s="15">
        <v>26</v>
      </c>
    </row>
    <row r="307" spans="2:5" ht="30" customHeight="1" x14ac:dyDescent="0.25">
      <c r="B307" s="9" t="s">
        <v>530</v>
      </c>
      <c r="C307" s="9" t="s">
        <v>118</v>
      </c>
      <c r="D307" s="12">
        <v>0.2</v>
      </c>
      <c r="E307" s="15">
        <v>14</v>
      </c>
    </row>
    <row r="308" spans="2:5" ht="30" customHeight="1" x14ac:dyDescent="0.25">
      <c r="B308" s="9" t="s">
        <v>527</v>
      </c>
      <c r="C308" s="9" t="s">
        <v>118</v>
      </c>
      <c r="D308" s="12">
        <v>0.2</v>
      </c>
      <c r="E308" s="15">
        <v>12</v>
      </c>
    </row>
    <row r="309" spans="2:5" ht="30" customHeight="1" x14ac:dyDescent="0.25">
      <c r="B309" s="9" t="s">
        <v>135</v>
      </c>
      <c r="C309" s="9" t="s">
        <v>118</v>
      </c>
      <c r="D309" s="12">
        <v>0.2</v>
      </c>
      <c r="E309" s="15">
        <v>14</v>
      </c>
    </row>
    <row r="310" spans="2:5" ht="30" customHeight="1" x14ac:dyDescent="0.25">
      <c r="B310" s="9" t="s">
        <v>523</v>
      </c>
      <c r="C310" s="9" t="s">
        <v>118</v>
      </c>
      <c r="D310" s="12">
        <v>0.2</v>
      </c>
      <c r="E310" s="15">
        <v>30</v>
      </c>
    </row>
    <row r="311" spans="2:5" ht="30" customHeight="1" x14ac:dyDescent="0.25">
      <c r="B311" s="9" t="s">
        <v>524</v>
      </c>
      <c r="C311" s="9" t="s">
        <v>118</v>
      </c>
      <c r="D311" s="12">
        <v>0.2</v>
      </c>
      <c r="E311" s="15">
        <v>35</v>
      </c>
    </row>
    <row r="312" spans="2:5" ht="30" customHeight="1" x14ac:dyDescent="0.25">
      <c r="B312" s="9" t="s">
        <v>138</v>
      </c>
      <c r="C312" s="9" t="s">
        <v>118</v>
      </c>
      <c r="D312" s="12">
        <v>0.2</v>
      </c>
      <c r="E312" s="15">
        <v>10</v>
      </c>
    </row>
    <row r="313" spans="2:5" ht="30" customHeight="1" x14ac:dyDescent="0.25">
      <c r="B313" s="9" t="s">
        <v>134</v>
      </c>
      <c r="C313" s="9" t="s">
        <v>118</v>
      </c>
      <c r="D313" s="12">
        <v>0.2</v>
      </c>
      <c r="E313" s="15">
        <v>5</v>
      </c>
    </row>
    <row r="314" spans="2:5" ht="30" customHeight="1" x14ac:dyDescent="0.25">
      <c r="B314" s="9" t="s">
        <v>522</v>
      </c>
      <c r="C314" s="9" t="s">
        <v>118</v>
      </c>
      <c r="D314" s="12">
        <v>0.2</v>
      </c>
      <c r="E314" s="15">
        <v>14</v>
      </c>
    </row>
    <row r="315" spans="2:5" ht="30" customHeight="1" x14ac:dyDescent="0.25">
      <c r="B315" s="9" t="s">
        <v>528</v>
      </c>
      <c r="C315" s="9" t="s">
        <v>118</v>
      </c>
      <c r="D315" s="12">
        <v>0.2</v>
      </c>
      <c r="E315" s="15">
        <v>25</v>
      </c>
    </row>
    <row r="316" spans="2:5" ht="30" customHeight="1" x14ac:dyDescent="0.25">
      <c r="B316" s="9" t="s">
        <v>529</v>
      </c>
      <c r="C316" s="9" t="s">
        <v>118</v>
      </c>
      <c r="D316" s="12">
        <v>0.2</v>
      </c>
      <c r="E316" s="15">
        <v>470</v>
      </c>
    </row>
    <row r="317" spans="2:5" ht="30" customHeight="1" x14ac:dyDescent="0.25">
      <c r="B317" s="9" t="s">
        <v>525</v>
      </c>
      <c r="C317" s="9" t="s">
        <v>118</v>
      </c>
      <c r="D317" s="12">
        <v>0.2</v>
      </c>
      <c r="E317" s="15">
        <v>13</v>
      </c>
    </row>
    <row r="318" spans="2:5" ht="30" customHeight="1" x14ac:dyDescent="0.25">
      <c r="B318" s="9" t="s">
        <v>137</v>
      </c>
      <c r="C318" s="9" t="s">
        <v>118</v>
      </c>
      <c r="D318" s="12">
        <v>0.2</v>
      </c>
      <c r="E318" s="15">
        <v>11</v>
      </c>
    </row>
    <row r="319" spans="2:5" ht="30" customHeight="1" x14ac:dyDescent="0.25">
      <c r="B319" s="9" t="s">
        <v>526</v>
      </c>
      <c r="C319" s="9" t="s">
        <v>118</v>
      </c>
      <c r="D319" s="12">
        <v>0.2</v>
      </c>
      <c r="E319" s="15">
        <v>8</v>
      </c>
    </row>
    <row r="320" spans="2:5" ht="30" customHeight="1" x14ac:dyDescent="0.25">
      <c r="B320" s="9" t="s">
        <v>136</v>
      </c>
      <c r="C320" s="9" t="s">
        <v>118</v>
      </c>
      <c r="D320" s="12">
        <v>0.2</v>
      </c>
      <c r="E320" s="15">
        <v>12</v>
      </c>
    </row>
    <row r="321" spans="2:5" ht="30" customHeight="1" x14ac:dyDescent="0.25">
      <c r="B321" s="9" t="s">
        <v>142</v>
      </c>
      <c r="C321" s="9" t="s">
        <v>118</v>
      </c>
      <c r="D321" s="12">
        <v>0.2</v>
      </c>
      <c r="E321" s="15">
        <v>8</v>
      </c>
    </row>
    <row r="322" spans="2:5" ht="30" customHeight="1" x14ac:dyDescent="0.25">
      <c r="B322" s="9" t="s">
        <v>141</v>
      </c>
      <c r="C322" s="9" t="s">
        <v>118</v>
      </c>
      <c r="D322" s="12">
        <v>0.2</v>
      </c>
      <c r="E322" s="15">
        <v>34</v>
      </c>
    </row>
    <row r="323" spans="2:5" ht="30" customHeight="1" x14ac:dyDescent="0.25">
      <c r="B323" s="9" t="s">
        <v>140</v>
      </c>
      <c r="C323" s="9" t="s">
        <v>118</v>
      </c>
      <c r="D323" s="12">
        <v>0.2</v>
      </c>
      <c r="E323" s="15">
        <v>37</v>
      </c>
    </row>
    <row r="324" spans="2:5" ht="30" customHeight="1" x14ac:dyDescent="0.25">
      <c r="B324" s="9" t="s">
        <v>431</v>
      </c>
      <c r="C324" s="9" t="s">
        <v>117</v>
      </c>
      <c r="D324" s="12">
        <v>0.5</v>
      </c>
      <c r="E324" s="15">
        <v>180</v>
      </c>
    </row>
    <row r="325" spans="2:5" ht="30" customHeight="1" x14ac:dyDescent="0.25">
      <c r="B325" s="9" t="s">
        <v>355</v>
      </c>
      <c r="C325" s="9" t="s">
        <v>120</v>
      </c>
      <c r="D325" s="12">
        <v>0.09</v>
      </c>
      <c r="E325" s="15">
        <v>1250</v>
      </c>
    </row>
    <row r="326" spans="2:5" ht="30" customHeight="1" x14ac:dyDescent="0.25">
      <c r="B326" s="9" t="s">
        <v>188</v>
      </c>
      <c r="C326" s="9" t="s">
        <v>118</v>
      </c>
      <c r="D326" s="12">
        <v>0.2</v>
      </c>
      <c r="E326" s="15">
        <v>17</v>
      </c>
    </row>
    <row r="327" spans="2:5" ht="30" customHeight="1" x14ac:dyDescent="0.25">
      <c r="B327" s="9" t="s">
        <v>365</v>
      </c>
      <c r="C327" s="9" t="s">
        <v>120</v>
      </c>
      <c r="D327" s="12">
        <v>0.15</v>
      </c>
      <c r="E327" s="15">
        <v>60</v>
      </c>
    </row>
    <row r="328" spans="2:5" ht="30" customHeight="1" x14ac:dyDescent="0.25">
      <c r="B328" s="9" t="s">
        <v>178</v>
      </c>
      <c r="C328" s="9" t="s">
        <v>116</v>
      </c>
      <c r="D328" s="12">
        <v>1.5</v>
      </c>
      <c r="E328" s="15">
        <v>600</v>
      </c>
    </row>
    <row r="329" spans="2:5" ht="30" customHeight="1" x14ac:dyDescent="0.25">
      <c r="B329" s="9" t="s">
        <v>152</v>
      </c>
      <c r="C329" s="1" t="s">
        <v>119</v>
      </c>
      <c r="D329" s="12">
        <v>0.1</v>
      </c>
      <c r="E329" s="15">
        <v>19</v>
      </c>
    </row>
    <row r="330" spans="2:5" ht="30" customHeight="1" x14ac:dyDescent="0.25">
      <c r="B330" s="9" t="s">
        <v>533</v>
      </c>
      <c r="C330" s="9" t="s">
        <v>118</v>
      </c>
      <c r="D330" s="12">
        <v>0.05</v>
      </c>
      <c r="E330" s="15">
        <v>10</v>
      </c>
    </row>
    <row r="331" spans="2:5" ht="30" customHeight="1" x14ac:dyDescent="0.25">
      <c r="B331" s="9" t="s">
        <v>199</v>
      </c>
      <c r="C331" s="9" t="s">
        <v>118</v>
      </c>
      <c r="D331" s="12">
        <v>0.1</v>
      </c>
      <c r="E331" s="15">
        <v>0.6</v>
      </c>
    </row>
    <row r="332" spans="2:5" ht="30" customHeight="1" x14ac:dyDescent="0.25">
      <c r="B332" s="9" t="s">
        <v>453</v>
      </c>
      <c r="C332" s="9" t="s">
        <v>117</v>
      </c>
      <c r="D332" s="12">
        <v>0.5</v>
      </c>
      <c r="E332" s="15">
        <v>1800</v>
      </c>
    </row>
    <row r="333" spans="2:5" ht="30" customHeight="1" x14ac:dyDescent="0.25">
      <c r="B333" s="9" t="s">
        <v>413</v>
      </c>
      <c r="C333" s="9" t="s">
        <v>117</v>
      </c>
      <c r="D333" s="12">
        <v>0.7</v>
      </c>
      <c r="E333" s="15">
        <v>1100</v>
      </c>
    </row>
    <row r="334" spans="2:5" ht="30" customHeight="1" x14ac:dyDescent="0.25">
      <c r="B334" s="9" t="s">
        <v>451</v>
      </c>
      <c r="C334" s="9" t="s">
        <v>117</v>
      </c>
      <c r="D334" s="12">
        <v>0.15</v>
      </c>
      <c r="E334" s="15">
        <v>840</v>
      </c>
    </row>
    <row r="335" spans="2:5" ht="30" customHeight="1" x14ac:dyDescent="0.25">
      <c r="B335" s="9" t="s">
        <v>419</v>
      </c>
      <c r="C335" s="9" t="s">
        <v>117</v>
      </c>
      <c r="D335" s="12">
        <v>0.15</v>
      </c>
      <c r="E335" s="15">
        <v>1410</v>
      </c>
    </row>
    <row r="336" spans="2:5" ht="30" customHeight="1" x14ac:dyDescent="0.25">
      <c r="B336" s="9" t="s">
        <v>425</v>
      </c>
      <c r="C336" s="9" t="s">
        <v>117</v>
      </c>
      <c r="D336" s="12">
        <v>0.4</v>
      </c>
      <c r="E336" s="15">
        <v>1310</v>
      </c>
    </row>
    <row r="337" spans="2:5" ht="30" customHeight="1" x14ac:dyDescent="0.25">
      <c r="B337" s="9" t="s">
        <v>452</v>
      </c>
      <c r="C337" s="9" t="s">
        <v>117</v>
      </c>
      <c r="D337" s="12">
        <v>0.4</v>
      </c>
      <c r="E337" s="15">
        <v>1440</v>
      </c>
    </row>
    <row r="338" spans="2:5" ht="30" customHeight="1" x14ac:dyDescent="0.25">
      <c r="B338" s="9" t="s">
        <v>33</v>
      </c>
      <c r="C338" s="9" t="s">
        <v>118</v>
      </c>
      <c r="D338" s="12">
        <v>0.2</v>
      </c>
      <c r="E338" s="15">
        <v>7</v>
      </c>
    </row>
    <row r="339" spans="2:5" ht="30" customHeight="1" x14ac:dyDescent="0.25">
      <c r="B339" s="9" t="s">
        <v>27</v>
      </c>
      <c r="C339" s="9" t="s">
        <v>118</v>
      </c>
      <c r="D339" s="12">
        <v>0.2</v>
      </c>
      <c r="E339" s="15">
        <v>19</v>
      </c>
    </row>
    <row r="340" spans="2:5" ht="30" customHeight="1" x14ac:dyDescent="0.25">
      <c r="B340" s="9" t="s">
        <v>26</v>
      </c>
      <c r="C340" s="9" t="s">
        <v>118</v>
      </c>
      <c r="D340" s="12">
        <v>0.2</v>
      </c>
      <c r="E340" s="15">
        <v>6</v>
      </c>
    </row>
    <row r="341" spans="2:5" ht="30" customHeight="1" x14ac:dyDescent="0.25">
      <c r="B341" s="9" t="s">
        <v>111</v>
      </c>
      <c r="C341" s="9" t="s">
        <v>118</v>
      </c>
      <c r="D341" s="12">
        <v>0.05</v>
      </c>
      <c r="E341" s="15">
        <v>0</v>
      </c>
    </row>
    <row r="342" spans="2:5" ht="30" customHeight="1" x14ac:dyDescent="0.25">
      <c r="B342" s="9" t="s">
        <v>103</v>
      </c>
      <c r="C342" s="1" t="s">
        <v>119</v>
      </c>
      <c r="D342" s="12">
        <v>0.06</v>
      </c>
      <c r="E342" s="15">
        <v>6</v>
      </c>
    </row>
    <row r="343" spans="2:5" ht="30" customHeight="1" x14ac:dyDescent="0.25">
      <c r="B343" s="9" t="s">
        <v>520</v>
      </c>
      <c r="C343" s="9" t="s">
        <v>118</v>
      </c>
      <c r="D343" s="12">
        <v>1</v>
      </c>
      <c r="E343" s="15">
        <v>170</v>
      </c>
    </row>
    <row r="344" spans="2:5" ht="30" customHeight="1" x14ac:dyDescent="0.25">
      <c r="B344" s="9" t="s">
        <v>489</v>
      </c>
      <c r="C344" s="9" t="s">
        <v>118</v>
      </c>
      <c r="D344" s="12">
        <v>0.4</v>
      </c>
      <c r="E344" s="15">
        <v>27</v>
      </c>
    </row>
    <row r="345" spans="2:5" ht="30" customHeight="1" x14ac:dyDescent="0.25">
      <c r="B345" s="9" t="s">
        <v>104</v>
      </c>
      <c r="C345" s="1" t="s">
        <v>119</v>
      </c>
      <c r="D345" s="12">
        <v>0.01</v>
      </c>
      <c r="E345" s="15">
        <v>4</v>
      </c>
    </row>
    <row r="346" spans="2:5" ht="30" customHeight="1" x14ac:dyDescent="0.25">
      <c r="B346" s="9" t="s">
        <v>260</v>
      </c>
      <c r="C346" s="9" t="s">
        <v>117</v>
      </c>
      <c r="D346" s="12">
        <v>4</v>
      </c>
      <c r="E346" s="15">
        <v>760</v>
      </c>
    </row>
    <row r="347" spans="2:5" ht="30" customHeight="1" x14ac:dyDescent="0.25">
      <c r="B347" s="9" t="s">
        <v>435</v>
      </c>
      <c r="C347" s="9" t="s">
        <v>117</v>
      </c>
      <c r="D347" s="12">
        <v>3</v>
      </c>
      <c r="E347" s="15">
        <v>1020</v>
      </c>
    </row>
    <row r="348" spans="2:5" ht="30" customHeight="1" x14ac:dyDescent="0.25">
      <c r="B348" s="9" t="s">
        <v>314</v>
      </c>
      <c r="C348" s="1" t="s">
        <v>119</v>
      </c>
      <c r="D348" s="12">
        <v>0.4</v>
      </c>
      <c r="E348" s="15">
        <v>7</v>
      </c>
    </row>
    <row r="349" spans="2:5" ht="30" customHeight="1" x14ac:dyDescent="0.25">
      <c r="B349" s="9" t="s">
        <v>30</v>
      </c>
      <c r="C349" s="9" t="s">
        <v>118</v>
      </c>
      <c r="D349" s="12">
        <v>0.2</v>
      </c>
      <c r="E349" s="15">
        <v>23</v>
      </c>
    </row>
    <row r="350" spans="2:5" ht="30" customHeight="1" x14ac:dyDescent="0.25">
      <c r="B350" s="9" t="s">
        <v>29</v>
      </c>
      <c r="C350" s="9" t="s">
        <v>118</v>
      </c>
      <c r="D350" s="12">
        <v>0.2</v>
      </c>
      <c r="E350" s="15">
        <v>8</v>
      </c>
    </row>
    <row r="351" spans="2:5" ht="30" customHeight="1" x14ac:dyDescent="0.25">
      <c r="B351" s="9" t="s">
        <v>187</v>
      </c>
      <c r="C351" s="9" t="s">
        <v>118</v>
      </c>
      <c r="D351" s="12">
        <v>0.2</v>
      </c>
      <c r="E351" s="15">
        <v>7</v>
      </c>
    </row>
    <row r="352" spans="2:5" ht="30" customHeight="1" x14ac:dyDescent="0.25">
      <c r="B352" s="9" t="s">
        <v>505</v>
      </c>
      <c r="C352" s="9" t="s">
        <v>118</v>
      </c>
      <c r="D352" s="12">
        <v>0.2</v>
      </c>
      <c r="E352" s="15">
        <v>12</v>
      </c>
    </row>
    <row r="353" spans="2:5" ht="30" customHeight="1" x14ac:dyDescent="0.25">
      <c r="B353" s="9" t="s">
        <v>469</v>
      </c>
      <c r="C353" s="9" t="s">
        <v>117</v>
      </c>
      <c r="D353" s="12">
        <v>0.6</v>
      </c>
      <c r="E353" s="15">
        <v>1610</v>
      </c>
    </row>
    <row r="354" spans="2:5" ht="30" customHeight="1" x14ac:dyDescent="0.25">
      <c r="B354" s="9" t="s">
        <v>467</v>
      </c>
      <c r="C354" s="9" t="s">
        <v>117</v>
      </c>
      <c r="D354" s="12">
        <v>0.1</v>
      </c>
      <c r="E354" s="15">
        <v>1240</v>
      </c>
    </row>
    <row r="355" spans="2:5" ht="30" customHeight="1" x14ac:dyDescent="0.25">
      <c r="B355" s="9" t="s">
        <v>468</v>
      </c>
      <c r="C355" s="9" t="s">
        <v>117</v>
      </c>
      <c r="D355" s="12">
        <v>0.4</v>
      </c>
      <c r="E355" s="15">
        <v>1070</v>
      </c>
    </row>
    <row r="356" spans="2:5" ht="30" customHeight="1" x14ac:dyDescent="0.25">
      <c r="B356" s="9" t="s">
        <v>255</v>
      </c>
      <c r="C356" s="9" t="s">
        <v>117</v>
      </c>
      <c r="D356" s="12">
        <v>0.15</v>
      </c>
      <c r="E356" s="15">
        <v>900</v>
      </c>
    </row>
    <row r="357" spans="2:5" ht="30" customHeight="1" x14ac:dyDescent="0.25">
      <c r="B357" s="9" t="s">
        <v>390</v>
      </c>
      <c r="C357" s="9" t="s">
        <v>120</v>
      </c>
      <c r="D357" s="12">
        <v>0.15</v>
      </c>
      <c r="E357" s="15">
        <v>500</v>
      </c>
    </row>
    <row r="358" spans="2:5" ht="30" customHeight="1" x14ac:dyDescent="0.25">
      <c r="B358" s="9" t="s">
        <v>356</v>
      </c>
      <c r="C358" s="9" t="s">
        <v>120</v>
      </c>
      <c r="D358" s="12">
        <v>0.05</v>
      </c>
      <c r="E358" s="15">
        <v>750</v>
      </c>
    </row>
    <row r="359" spans="2:5" ht="30" customHeight="1" x14ac:dyDescent="0.25">
      <c r="B359" s="9" t="s">
        <v>357</v>
      </c>
      <c r="C359" s="9" t="s">
        <v>120</v>
      </c>
      <c r="D359" s="12">
        <v>0.06</v>
      </c>
      <c r="E359" s="15">
        <v>500</v>
      </c>
    </row>
    <row r="360" spans="2:5" ht="30" customHeight="1" x14ac:dyDescent="0.25">
      <c r="B360" s="9" t="s">
        <v>433</v>
      </c>
      <c r="C360" s="9" t="s">
        <v>117</v>
      </c>
      <c r="D360" s="12">
        <v>1</v>
      </c>
      <c r="E360" s="15">
        <v>380</v>
      </c>
    </row>
    <row r="361" spans="2:5" ht="30" customHeight="1" x14ac:dyDescent="0.25">
      <c r="B361" s="9" t="s">
        <v>35</v>
      </c>
      <c r="C361" s="9" t="s">
        <v>116</v>
      </c>
      <c r="D361" s="12">
        <v>0.15</v>
      </c>
      <c r="E361" s="15">
        <v>14</v>
      </c>
    </row>
    <row r="362" spans="2:5" ht="30" customHeight="1" x14ac:dyDescent="0.25">
      <c r="B362" s="9" t="s">
        <v>249</v>
      </c>
      <c r="C362" s="9" t="s">
        <v>117</v>
      </c>
      <c r="D362" s="12">
        <v>0.05</v>
      </c>
      <c r="E362" s="15">
        <v>460</v>
      </c>
    </row>
    <row r="363" spans="2:5" ht="30" customHeight="1" x14ac:dyDescent="0.25">
      <c r="B363" s="9" t="s">
        <v>245</v>
      </c>
      <c r="C363" s="9" t="s">
        <v>117</v>
      </c>
      <c r="D363" s="12">
        <v>0.6</v>
      </c>
      <c r="E363" s="15">
        <v>550</v>
      </c>
    </row>
    <row r="364" spans="2:5" ht="30" customHeight="1" x14ac:dyDescent="0.25">
      <c r="B364" s="9" t="s">
        <v>242</v>
      </c>
      <c r="C364" s="9" t="s">
        <v>117</v>
      </c>
      <c r="D364" s="12">
        <v>0.3</v>
      </c>
      <c r="E364" s="15">
        <v>320</v>
      </c>
    </row>
    <row r="365" spans="2:5" ht="30" customHeight="1" x14ac:dyDescent="0.25">
      <c r="B365" s="9" t="s">
        <v>434</v>
      </c>
      <c r="C365" s="9" t="s">
        <v>117</v>
      </c>
      <c r="D365" s="12">
        <v>1.5</v>
      </c>
      <c r="E365" s="15">
        <v>760</v>
      </c>
    </row>
    <row r="366" spans="2:5" ht="30" customHeight="1" x14ac:dyDescent="0.25">
      <c r="B366" s="9" t="s">
        <v>251</v>
      </c>
      <c r="C366" s="9" t="s">
        <v>117</v>
      </c>
      <c r="D366" s="12">
        <v>0.15</v>
      </c>
      <c r="E366" s="15">
        <v>290</v>
      </c>
    </row>
    <row r="367" spans="2:5" ht="30" customHeight="1" x14ac:dyDescent="0.25">
      <c r="B367" s="9" t="s">
        <v>259</v>
      </c>
      <c r="C367" s="9" t="s">
        <v>117</v>
      </c>
      <c r="D367" s="12">
        <v>0.5</v>
      </c>
      <c r="E367" s="15">
        <v>210</v>
      </c>
    </row>
    <row r="368" spans="2:5" ht="30" customHeight="1" x14ac:dyDescent="0.25">
      <c r="B368" s="9" t="s">
        <v>36</v>
      </c>
      <c r="C368" s="9" t="s">
        <v>116</v>
      </c>
      <c r="D368" s="12">
        <v>0.46</v>
      </c>
      <c r="E368" s="15">
        <v>3</v>
      </c>
    </row>
    <row r="369" spans="2:5" ht="30" customHeight="1" x14ac:dyDescent="0.25">
      <c r="B369" s="9" t="s">
        <v>247</v>
      </c>
      <c r="C369" s="9" t="s">
        <v>117</v>
      </c>
      <c r="D369" s="12">
        <v>0.35</v>
      </c>
      <c r="E369" s="15">
        <v>490</v>
      </c>
    </row>
    <row r="370" spans="2:5" ht="30" customHeight="1" x14ac:dyDescent="0.25">
      <c r="B370" s="9" t="s">
        <v>244</v>
      </c>
      <c r="C370" s="9" t="s">
        <v>117</v>
      </c>
      <c r="D370" s="12">
        <v>0.25</v>
      </c>
      <c r="E370" s="15">
        <v>550</v>
      </c>
    </row>
    <row r="371" spans="2:5" ht="30" customHeight="1" x14ac:dyDescent="0.25">
      <c r="B371" s="9" t="s">
        <v>326</v>
      </c>
      <c r="C371" s="1" t="s">
        <v>119</v>
      </c>
      <c r="D371" s="12">
        <v>1</v>
      </c>
      <c r="E371" s="15">
        <v>50</v>
      </c>
    </row>
    <row r="372" spans="2:5" ht="30" customHeight="1" x14ac:dyDescent="0.25">
      <c r="B372" s="9" t="s">
        <v>258</v>
      </c>
      <c r="C372" s="9" t="s">
        <v>117</v>
      </c>
      <c r="D372" s="12">
        <v>0.25</v>
      </c>
      <c r="E372" s="15">
        <v>70</v>
      </c>
    </row>
    <row r="373" spans="2:5" ht="30" customHeight="1" x14ac:dyDescent="0.25">
      <c r="B373" s="9" t="s">
        <v>261</v>
      </c>
      <c r="C373" s="9" t="s">
        <v>117</v>
      </c>
      <c r="D373" s="12">
        <v>2</v>
      </c>
      <c r="E373" s="15">
        <v>380</v>
      </c>
    </row>
    <row r="374" spans="2:5" ht="30" customHeight="1" x14ac:dyDescent="0.25">
      <c r="B374" s="9" t="s">
        <v>123</v>
      </c>
      <c r="C374" s="9" t="s">
        <v>120</v>
      </c>
      <c r="D374" s="12">
        <v>0.5</v>
      </c>
      <c r="E374" s="15">
        <v>3</v>
      </c>
    </row>
    <row r="375" spans="2:5" ht="30" customHeight="1" x14ac:dyDescent="0.25">
      <c r="B375" s="9" t="s">
        <v>37</v>
      </c>
      <c r="C375" s="9" t="s">
        <v>116</v>
      </c>
      <c r="D375" s="12">
        <v>0.03</v>
      </c>
      <c r="E375" s="15">
        <v>0</v>
      </c>
    </row>
    <row r="376" spans="2:5" ht="30" customHeight="1" x14ac:dyDescent="0.25">
      <c r="B376" s="9" t="s">
        <v>184</v>
      </c>
      <c r="C376" s="9" t="s">
        <v>118</v>
      </c>
      <c r="D376" s="12">
        <v>0.75</v>
      </c>
      <c r="E376" s="15">
        <v>39</v>
      </c>
    </row>
    <row r="377" spans="2:5" ht="30" customHeight="1" x14ac:dyDescent="0.25">
      <c r="B377" s="9" t="s">
        <v>222</v>
      </c>
      <c r="C377" s="9" t="s">
        <v>116</v>
      </c>
      <c r="D377" s="12">
        <v>2</v>
      </c>
      <c r="E377" s="15">
        <v>60</v>
      </c>
    </row>
    <row r="378" spans="2:5" ht="30" customHeight="1" x14ac:dyDescent="0.25">
      <c r="B378" s="9" t="s">
        <v>325</v>
      </c>
      <c r="C378" s="1" t="s">
        <v>119</v>
      </c>
      <c r="D378" s="12">
        <v>0.01</v>
      </c>
      <c r="E378" s="15">
        <v>0.2</v>
      </c>
    </row>
    <row r="379" spans="2:5" ht="30" customHeight="1" x14ac:dyDescent="0.25">
      <c r="B379" s="9" t="s">
        <v>335</v>
      </c>
      <c r="C379" s="9" t="s">
        <v>119</v>
      </c>
      <c r="D379" s="12">
        <v>1</v>
      </c>
      <c r="E379" s="15">
        <v>30</v>
      </c>
    </row>
    <row r="380" spans="2:5" ht="30" customHeight="1" x14ac:dyDescent="0.25">
      <c r="B380" s="9" t="s">
        <v>160</v>
      </c>
      <c r="C380" s="9" t="s">
        <v>118</v>
      </c>
      <c r="D380" s="12">
        <v>0.01</v>
      </c>
      <c r="E380" s="15">
        <v>0.5</v>
      </c>
    </row>
    <row r="381" spans="2:5" ht="30" customHeight="1" x14ac:dyDescent="0.25">
      <c r="B381" s="9" t="s">
        <v>183</v>
      </c>
      <c r="C381" s="9" t="s">
        <v>118</v>
      </c>
      <c r="D381" s="12">
        <v>0.75</v>
      </c>
      <c r="E381" s="15">
        <v>20</v>
      </c>
    </row>
    <row r="382" spans="2:5" ht="30" customHeight="1" x14ac:dyDescent="0.25">
      <c r="B382" s="9" t="s">
        <v>14</v>
      </c>
      <c r="C382" s="1" t="s">
        <v>119</v>
      </c>
      <c r="D382" s="12">
        <v>0.1</v>
      </c>
      <c r="E382" s="15">
        <v>0.3</v>
      </c>
    </row>
    <row r="383" spans="2:5" ht="30" customHeight="1" x14ac:dyDescent="0.25">
      <c r="B383" s="9" t="s">
        <v>15</v>
      </c>
      <c r="C383" s="1" t="s">
        <v>119</v>
      </c>
      <c r="D383" s="12">
        <v>1</v>
      </c>
      <c r="E383" s="15">
        <v>0.4</v>
      </c>
    </row>
    <row r="384" spans="2:5" ht="30" customHeight="1" x14ac:dyDescent="0.25">
      <c r="B384" s="9" t="s">
        <v>133</v>
      </c>
      <c r="C384" s="9" t="s">
        <v>116</v>
      </c>
      <c r="D384" s="12">
        <v>0.03</v>
      </c>
      <c r="E384" s="15">
        <v>3</v>
      </c>
    </row>
    <row r="385" spans="2:5" ht="30" customHeight="1" x14ac:dyDescent="0.25">
      <c r="B385" s="9" t="s">
        <v>8</v>
      </c>
      <c r="C385" s="9" t="s">
        <v>116</v>
      </c>
      <c r="D385" s="12">
        <v>2.5</v>
      </c>
      <c r="E385" s="15">
        <v>7</v>
      </c>
    </row>
    <row r="386" spans="2:5" ht="30" customHeight="1" x14ac:dyDescent="0.25">
      <c r="B386" s="9" t="s">
        <v>211</v>
      </c>
      <c r="C386" s="9" t="s">
        <v>116</v>
      </c>
      <c r="D386" s="12">
        <v>2.5</v>
      </c>
      <c r="E386" s="15">
        <v>9</v>
      </c>
    </row>
    <row r="387" spans="2:5" ht="30" customHeight="1" x14ac:dyDescent="0.25">
      <c r="B387" s="9" t="s">
        <v>10</v>
      </c>
      <c r="C387" s="9" t="s">
        <v>116</v>
      </c>
      <c r="D387" s="12">
        <v>0.5</v>
      </c>
      <c r="E387" s="15">
        <v>5</v>
      </c>
    </row>
    <row r="388" spans="2:5" ht="30" customHeight="1" x14ac:dyDescent="0.25">
      <c r="B388" s="9" t="s">
        <v>9</v>
      </c>
      <c r="C388" s="9" t="s">
        <v>116</v>
      </c>
      <c r="D388" s="12">
        <v>3</v>
      </c>
      <c r="E388" s="15">
        <v>7</v>
      </c>
    </row>
    <row r="389" spans="2:5" ht="30" customHeight="1" x14ac:dyDescent="0.25">
      <c r="B389" s="9" t="s">
        <v>11</v>
      </c>
      <c r="C389" s="9" t="s">
        <v>116</v>
      </c>
      <c r="D389" s="12">
        <v>0.75</v>
      </c>
      <c r="E389" s="15">
        <v>6</v>
      </c>
    </row>
    <row r="390" spans="2:5" ht="30" customHeight="1" x14ac:dyDescent="0.25">
      <c r="B390" s="9" t="s">
        <v>131</v>
      </c>
      <c r="C390" s="9" t="s">
        <v>116</v>
      </c>
      <c r="D390" s="12">
        <v>2.5</v>
      </c>
      <c r="E390" s="15">
        <v>80</v>
      </c>
    </row>
    <row r="391" spans="2:5" ht="30" customHeight="1" x14ac:dyDescent="0.25">
      <c r="B391" s="9" t="s">
        <v>22</v>
      </c>
      <c r="C391" s="1" t="s">
        <v>119</v>
      </c>
      <c r="D391" s="12">
        <v>0.4</v>
      </c>
      <c r="E391" s="15">
        <v>0.1</v>
      </c>
    </row>
    <row r="392" spans="2:5" ht="30" customHeight="1" x14ac:dyDescent="0.25">
      <c r="B392" s="9" t="s">
        <v>409</v>
      </c>
      <c r="C392" s="9" t="s">
        <v>116</v>
      </c>
      <c r="D392" s="12">
        <v>1.4</v>
      </c>
      <c r="E392" s="15">
        <v>1200</v>
      </c>
    </row>
    <row r="393" spans="2:5" ht="30" customHeight="1" x14ac:dyDescent="0.25">
      <c r="B393" s="9" t="s">
        <v>450</v>
      </c>
      <c r="C393" s="9" t="s">
        <v>117</v>
      </c>
      <c r="D393" s="12">
        <v>2</v>
      </c>
      <c r="E393" s="15">
        <v>330</v>
      </c>
    </row>
    <row r="394" spans="2:5" ht="30" customHeight="1" x14ac:dyDescent="0.25">
      <c r="B394" s="9" t="s">
        <v>422</v>
      </c>
      <c r="C394" s="9" t="s">
        <v>117</v>
      </c>
      <c r="D394" s="12">
        <v>0.1</v>
      </c>
      <c r="E394" s="15">
        <v>1110</v>
      </c>
    </row>
    <row r="395" spans="2:5" ht="30" customHeight="1" x14ac:dyDescent="0.25">
      <c r="B395" s="9" t="s">
        <v>449</v>
      </c>
      <c r="C395" s="9" t="s">
        <v>117</v>
      </c>
      <c r="D395" s="12">
        <v>6</v>
      </c>
      <c r="E395" s="15">
        <v>3040</v>
      </c>
    </row>
    <row r="396" spans="2:5" ht="30" customHeight="1" x14ac:dyDescent="0.25">
      <c r="B396" s="9" t="s">
        <v>426</v>
      </c>
      <c r="C396" s="9" t="s">
        <v>117</v>
      </c>
      <c r="D396" s="12">
        <v>1</v>
      </c>
      <c r="E396" s="15">
        <v>1000</v>
      </c>
    </row>
    <row r="397" spans="2:5" ht="30" customHeight="1" x14ac:dyDescent="0.25">
      <c r="B397" s="9" t="s">
        <v>359</v>
      </c>
      <c r="C397" s="9" t="s">
        <v>120</v>
      </c>
      <c r="D397" s="12">
        <v>0.1</v>
      </c>
      <c r="E397" s="15">
        <v>500</v>
      </c>
    </row>
    <row r="398" spans="2:5" ht="30" customHeight="1" x14ac:dyDescent="0.25">
      <c r="B398" s="9" t="s">
        <v>254</v>
      </c>
      <c r="C398" s="9" t="s">
        <v>117</v>
      </c>
      <c r="D398" s="12">
        <v>1</v>
      </c>
      <c r="E398" s="15">
        <v>220</v>
      </c>
    </row>
    <row r="399" spans="2:5" ht="30" customHeight="1" x14ac:dyDescent="0.25">
      <c r="B399" s="9" t="s">
        <v>265</v>
      </c>
      <c r="C399" s="9" t="s">
        <v>117</v>
      </c>
      <c r="D399" s="12">
        <v>3</v>
      </c>
      <c r="E399" s="15">
        <v>1400</v>
      </c>
    </row>
    <row r="400" spans="2:5" ht="30" customHeight="1" x14ac:dyDescent="0.25">
      <c r="B400" s="9" t="s">
        <v>266</v>
      </c>
      <c r="C400" s="9" t="s">
        <v>117</v>
      </c>
      <c r="D400" s="12">
        <v>0.5</v>
      </c>
      <c r="E400" s="15">
        <v>220</v>
      </c>
    </row>
    <row r="401" spans="2:5" ht="30" customHeight="1" x14ac:dyDescent="0.25">
      <c r="B401" s="9" t="s">
        <v>179</v>
      </c>
      <c r="C401" s="9" t="s">
        <v>118</v>
      </c>
      <c r="D401" s="12">
        <v>0.01</v>
      </c>
      <c r="E401" s="15">
        <v>0.7</v>
      </c>
    </row>
    <row r="402" spans="2:5" ht="30" customHeight="1" x14ac:dyDescent="0.25">
      <c r="B402" s="9" t="s">
        <v>214</v>
      </c>
      <c r="C402" s="9" t="s">
        <v>116</v>
      </c>
      <c r="D402" s="12">
        <v>0.2</v>
      </c>
      <c r="E402" s="15">
        <v>0.2</v>
      </c>
    </row>
    <row r="403" spans="2:5" ht="30" customHeight="1" x14ac:dyDescent="0.25">
      <c r="B403" s="9" t="s">
        <v>206</v>
      </c>
      <c r="C403" s="1" t="s">
        <v>119</v>
      </c>
      <c r="D403" s="12">
        <v>1</v>
      </c>
      <c r="E403" s="15">
        <v>35</v>
      </c>
    </row>
    <row r="404" spans="2:5" ht="30" customHeight="1" x14ac:dyDescent="0.25">
      <c r="B404" s="9" t="s">
        <v>205</v>
      </c>
      <c r="C404" s="1" t="s">
        <v>119</v>
      </c>
      <c r="D404" s="12">
        <v>1</v>
      </c>
      <c r="E404" s="15">
        <v>8</v>
      </c>
    </row>
    <row r="405" spans="2:5" ht="30" customHeight="1" x14ac:dyDescent="0.25">
      <c r="B405" s="9" t="s">
        <v>130</v>
      </c>
      <c r="C405" s="9" t="s">
        <v>116</v>
      </c>
      <c r="D405" s="12">
        <v>0.5</v>
      </c>
      <c r="E405" s="15">
        <v>33</v>
      </c>
    </row>
    <row r="406" spans="2:5" ht="30" customHeight="1" x14ac:dyDescent="0.25">
      <c r="B406" s="9" t="s">
        <v>364</v>
      </c>
      <c r="C406" s="9" t="s">
        <v>120</v>
      </c>
      <c r="D406" s="12">
        <v>0.75</v>
      </c>
      <c r="E406" s="15">
        <v>45</v>
      </c>
    </row>
    <row r="407" spans="2:5" ht="30" customHeight="1" x14ac:dyDescent="0.25">
      <c r="B407" s="9" t="s">
        <v>476</v>
      </c>
      <c r="C407" s="9" t="s">
        <v>118</v>
      </c>
      <c r="D407" s="12">
        <v>0.05</v>
      </c>
      <c r="E407" s="15">
        <v>0.2</v>
      </c>
    </row>
    <row r="408" spans="2:5" ht="30" customHeight="1" x14ac:dyDescent="0.25">
      <c r="B408" s="9" t="s">
        <v>391</v>
      </c>
      <c r="C408" s="9" t="s">
        <v>120</v>
      </c>
      <c r="D408" s="12">
        <v>0.4</v>
      </c>
      <c r="E408" s="15">
        <v>750</v>
      </c>
    </row>
    <row r="409" spans="2:5" ht="30" customHeight="1" x14ac:dyDescent="0.25">
      <c r="B409" s="9" t="s">
        <v>506</v>
      </c>
      <c r="C409" s="9" t="s">
        <v>118</v>
      </c>
      <c r="D409" s="12">
        <v>0.8</v>
      </c>
      <c r="E409" s="15">
        <v>38</v>
      </c>
    </row>
    <row r="410" spans="2:5" ht="30" customHeight="1" x14ac:dyDescent="0.25">
      <c r="B410" s="9" t="s">
        <v>322</v>
      </c>
      <c r="C410" s="1" t="s">
        <v>119</v>
      </c>
      <c r="D410" s="12">
        <v>0.1</v>
      </c>
      <c r="E410" s="15">
        <v>180</v>
      </c>
    </row>
    <row r="411" spans="2:5" ht="30" customHeight="1" x14ac:dyDescent="0.25">
      <c r="B411" s="9" t="s">
        <v>427</v>
      </c>
      <c r="C411" s="9" t="s">
        <v>117</v>
      </c>
      <c r="D411" s="12">
        <v>0.35</v>
      </c>
      <c r="E411" s="15">
        <v>830</v>
      </c>
    </row>
    <row r="412" spans="2:5" ht="30" customHeight="1" x14ac:dyDescent="0.25">
      <c r="B412" s="9" t="s">
        <v>412</v>
      </c>
      <c r="C412" s="9" t="s">
        <v>117</v>
      </c>
      <c r="D412" s="12">
        <v>0.5</v>
      </c>
      <c r="E412" s="15">
        <v>1530</v>
      </c>
    </row>
    <row r="413" spans="2:5" ht="30" customHeight="1" x14ac:dyDescent="0.25">
      <c r="B413" s="9" t="s">
        <v>460</v>
      </c>
      <c r="C413" s="9" t="s">
        <v>117</v>
      </c>
      <c r="D413" s="12">
        <v>0.15</v>
      </c>
      <c r="E413" s="15">
        <v>420</v>
      </c>
    </row>
    <row r="414" spans="2:5" ht="30" customHeight="1" x14ac:dyDescent="0.25">
      <c r="B414" s="9" t="s">
        <v>420</v>
      </c>
      <c r="C414" s="9" t="s">
        <v>117</v>
      </c>
      <c r="D414" s="12">
        <v>0.1</v>
      </c>
      <c r="E414" s="15">
        <v>810</v>
      </c>
    </row>
    <row r="415" spans="2:5" ht="30" customHeight="1" x14ac:dyDescent="0.25">
      <c r="B415" s="9" t="s">
        <v>423</v>
      </c>
      <c r="C415" s="9" t="s">
        <v>117</v>
      </c>
      <c r="D415" s="12">
        <v>0.35</v>
      </c>
      <c r="E415" s="15">
        <v>810</v>
      </c>
    </row>
    <row r="416" spans="2:5" ht="30" customHeight="1" x14ac:dyDescent="0.25">
      <c r="B416" s="9" t="s">
        <v>461</v>
      </c>
      <c r="C416" s="9" t="s">
        <v>117</v>
      </c>
      <c r="D416" s="12">
        <v>0.4</v>
      </c>
      <c r="E416" s="15">
        <v>1090</v>
      </c>
    </row>
    <row r="417" spans="2:5" ht="30" customHeight="1" x14ac:dyDescent="0.25">
      <c r="B417" s="9" t="s">
        <v>96</v>
      </c>
      <c r="C417" s="9" t="s">
        <v>116</v>
      </c>
      <c r="D417" s="12">
        <v>0.25</v>
      </c>
      <c r="E417" s="15">
        <v>32</v>
      </c>
    </row>
    <row r="418" spans="2:5" ht="30" customHeight="1" x14ac:dyDescent="0.25">
      <c r="B418" s="9" t="s">
        <v>97</v>
      </c>
      <c r="C418" s="9" t="s">
        <v>118</v>
      </c>
      <c r="D418" s="12">
        <v>0.5</v>
      </c>
      <c r="E418" s="15">
        <v>32</v>
      </c>
    </row>
    <row r="419" spans="2:5" ht="30" customHeight="1" x14ac:dyDescent="0.25">
      <c r="B419" s="9" t="s">
        <v>99</v>
      </c>
      <c r="C419" s="1" t="s">
        <v>119</v>
      </c>
      <c r="D419" s="12">
        <v>0.06</v>
      </c>
      <c r="E419" s="15">
        <v>6</v>
      </c>
    </row>
    <row r="420" spans="2:5" ht="30" customHeight="1" x14ac:dyDescent="0.25">
      <c r="B420" s="9" t="s">
        <v>521</v>
      </c>
      <c r="C420" s="9" t="s">
        <v>118</v>
      </c>
      <c r="D420" s="12">
        <v>1</v>
      </c>
      <c r="E420" s="15">
        <v>150</v>
      </c>
    </row>
    <row r="421" spans="2:5" ht="30" customHeight="1" x14ac:dyDescent="0.25">
      <c r="B421" s="9" t="s">
        <v>490</v>
      </c>
      <c r="C421" s="9" t="s">
        <v>118</v>
      </c>
      <c r="D421" s="12">
        <v>0.4</v>
      </c>
      <c r="E421" s="15">
        <v>30</v>
      </c>
    </row>
    <row r="422" spans="2:5" ht="30" customHeight="1" x14ac:dyDescent="0.25">
      <c r="B422" s="9" t="s">
        <v>100</v>
      </c>
      <c r="C422" s="1" t="s">
        <v>119</v>
      </c>
      <c r="D422" s="12">
        <v>0.01</v>
      </c>
      <c r="E422" s="15">
        <v>5</v>
      </c>
    </row>
    <row r="423" spans="2:5" ht="30" customHeight="1" x14ac:dyDescent="0.25">
      <c r="B423" s="9" t="s">
        <v>493</v>
      </c>
      <c r="C423" s="9" t="s">
        <v>118</v>
      </c>
      <c r="D423" s="12">
        <v>0.2</v>
      </c>
      <c r="E423" s="15">
        <v>20</v>
      </c>
    </row>
    <row r="424" spans="2:5" ht="30" customHeight="1" x14ac:dyDescent="0.25">
      <c r="B424" s="9" t="s">
        <v>492</v>
      </c>
      <c r="C424" s="9" t="s">
        <v>118</v>
      </c>
      <c r="D424" s="12">
        <v>0.4</v>
      </c>
      <c r="E424" s="15">
        <v>18</v>
      </c>
    </row>
    <row r="425" spans="2:5" ht="30" customHeight="1" x14ac:dyDescent="0.25">
      <c r="B425" s="9" t="s">
        <v>332</v>
      </c>
      <c r="C425" s="1" t="s">
        <v>119</v>
      </c>
      <c r="D425" s="12">
        <v>0.01</v>
      </c>
      <c r="E425" s="15">
        <v>50</v>
      </c>
    </row>
    <row r="426" spans="2:5" ht="30" customHeight="1" x14ac:dyDescent="0.25">
      <c r="B426" s="9" t="s">
        <v>338</v>
      </c>
      <c r="C426" s="9" t="s">
        <v>120</v>
      </c>
      <c r="D426" s="12">
        <v>1.6</v>
      </c>
      <c r="E426" s="15">
        <v>11</v>
      </c>
    </row>
    <row r="427" spans="2:5" ht="30" customHeight="1" x14ac:dyDescent="0.25">
      <c r="B427" s="9" t="s">
        <v>329</v>
      </c>
      <c r="C427" s="1" t="s">
        <v>119</v>
      </c>
      <c r="D427" s="12">
        <v>0.01</v>
      </c>
      <c r="E427" s="15">
        <v>50</v>
      </c>
    </row>
    <row r="428" spans="2:5" ht="30" customHeight="1" x14ac:dyDescent="0.25">
      <c r="B428" s="9" t="s">
        <v>318</v>
      </c>
      <c r="C428" s="1" t="s">
        <v>119</v>
      </c>
      <c r="D428" s="12">
        <v>0.3</v>
      </c>
      <c r="E428" s="15">
        <v>6</v>
      </c>
    </row>
    <row r="429" spans="2:5" ht="30" customHeight="1" x14ac:dyDescent="0.25">
      <c r="B429" s="9" t="s">
        <v>263</v>
      </c>
      <c r="C429" s="9" t="s">
        <v>117</v>
      </c>
      <c r="D429" s="12">
        <v>0.15</v>
      </c>
      <c r="E429" s="15">
        <v>70</v>
      </c>
    </row>
    <row r="430" spans="2:5" ht="30" customHeight="1" x14ac:dyDescent="0.25">
      <c r="B430" s="9" t="s">
        <v>241</v>
      </c>
      <c r="C430" s="9" t="s">
        <v>117</v>
      </c>
      <c r="D430" s="12">
        <v>0.2</v>
      </c>
      <c r="E430" s="15">
        <v>100</v>
      </c>
    </row>
    <row r="431" spans="2:5" ht="30" customHeight="1" x14ac:dyDescent="0.25">
      <c r="B431" s="9" t="s">
        <v>262</v>
      </c>
      <c r="C431" s="9" t="s">
        <v>117</v>
      </c>
      <c r="D431" s="12">
        <v>0.6</v>
      </c>
      <c r="E431" s="15">
        <v>210</v>
      </c>
    </row>
    <row r="432" spans="2:5" ht="30" customHeight="1" x14ac:dyDescent="0.25">
      <c r="B432" s="9" t="s">
        <v>248</v>
      </c>
      <c r="C432" s="9" t="s">
        <v>117</v>
      </c>
      <c r="D432" s="12">
        <v>0.25</v>
      </c>
      <c r="E432" s="15">
        <v>130</v>
      </c>
    </row>
    <row r="433" spans="2:5" ht="30" customHeight="1" x14ac:dyDescent="0.25">
      <c r="B433" s="9" t="s">
        <v>253</v>
      </c>
      <c r="C433" s="9" t="s">
        <v>117</v>
      </c>
      <c r="D433" s="12">
        <v>0.25</v>
      </c>
      <c r="E433" s="15">
        <v>240</v>
      </c>
    </row>
    <row r="434" spans="2:5" ht="30" customHeight="1" x14ac:dyDescent="0.25">
      <c r="B434" s="9" t="s">
        <v>264</v>
      </c>
      <c r="C434" s="9" t="s">
        <v>117</v>
      </c>
      <c r="D434" s="12">
        <v>0.35</v>
      </c>
      <c r="E434" s="15">
        <v>150</v>
      </c>
    </row>
    <row r="435" spans="2:5" ht="30" customHeight="1" x14ac:dyDescent="0.25">
      <c r="B435" s="9" t="s">
        <v>363</v>
      </c>
      <c r="C435" s="9" t="s">
        <v>120</v>
      </c>
      <c r="D435" s="12">
        <v>5</v>
      </c>
      <c r="E435" s="15">
        <v>30</v>
      </c>
    </row>
    <row r="436" spans="2:5" ht="30" customHeight="1" x14ac:dyDescent="0.25">
      <c r="B436" s="9" t="s">
        <v>366</v>
      </c>
      <c r="C436" s="9" t="s">
        <v>120</v>
      </c>
      <c r="D436" s="12">
        <v>0.1</v>
      </c>
      <c r="E436" s="15">
        <v>30</v>
      </c>
    </row>
    <row r="437" spans="2:5" ht="30" customHeight="1" x14ac:dyDescent="0.25">
      <c r="B437" s="9" t="s">
        <v>367</v>
      </c>
      <c r="C437" s="9" t="s">
        <v>120</v>
      </c>
      <c r="D437" s="12">
        <v>0.1</v>
      </c>
      <c r="E437" s="15">
        <v>30</v>
      </c>
    </row>
    <row r="438" spans="2:5" ht="30" customHeight="1" x14ac:dyDescent="0.25">
      <c r="B438" s="9" t="s">
        <v>368</v>
      </c>
      <c r="C438" s="9" t="s">
        <v>120</v>
      </c>
      <c r="D438" s="12">
        <v>0.1</v>
      </c>
      <c r="E438" s="15">
        <v>30</v>
      </c>
    </row>
    <row r="439" spans="2:5" ht="30" customHeight="1" x14ac:dyDescent="0.25">
      <c r="B439" s="9" t="s">
        <v>166</v>
      </c>
      <c r="C439" s="9" t="s">
        <v>116</v>
      </c>
      <c r="D439" s="12">
        <v>0.02</v>
      </c>
      <c r="E439" s="15">
        <v>3</v>
      </c>
    </row>
    <row r="440" spans="2:5" ht="30" customHeight="1" x14ac:dyDescent="0.25">
      <c r="B440" s="9" t="s">
        <v>124</v>
      </c>
      <c r="C440" s="1" t="s">
        <v>119</v>
      </c>
      <c r="D440" s="12">
        <v>0.2</v>
      </c>
      <c r="E440" s="15">
        <v>0.8</v>
      </c>
    </row>
    <row r="441" spans="2:5" ht="30" customHeight="1" x14ac:dyDescent="0.25">
      <c r="B441" s="9" t="s">
        <v>279</v>
      </c>
      <c r="C441" s="9" t="s">
        <v>116</v>
      </c>
      <c r="D441" s="12">
        <v>2</v>
      </c>
      <c r="E441" s="15">
        <v>360</v>
      </c>
    </row>
    <row r="442" spans="2:5" ht="30" customHeight="1" x14ac:dyDescent="0.25">
      <c r="B442" s="9" t="s">
        <v>125</v>
      </c>
      <c r="C442" s="9" t="s">
        <v>120</v>
      </c>
      <c r="D442" s="12">
        <v>0.2</v>
      </c>
      <c r="E442" s="15">
        <v>0.8</v>
      </c>
    </row>
    <row r="443" spans="2:5" ht="30" customHeight="1" x14ac:dyDescent="0.25">
      <c r="B443" s="9" t="s">
        <v>371</v>
      </c>
      <c r="C443" s="9" t="s">
        <v>120</v>
      </c>
      <c r="D443" s="12">
        <v>0.1</v>
      </c>
      <c r="E443" s="15">
        <v>30</v>
      </c>
    </row>
    <row r="444" spans="2:5" ht="30" customHeight="1" x14ac:dyDescent="0.25">
      <c r="B444" s="9" t="s">
        <v>5</v>
      </c>
      <c r="C444" s="9" t="s">
        <v>116</v>
      </c>
      <c r="D444" s="12">
        <v>1</v>
      </c>
      <c r="E444" s="15">
        <v>9</v>
      </c>
    </row>
    <row r="445" spans="2:5" ht="30" customHeight="1" x14ac:dyDescent="0.25">
      <c r="B445" s="9" t="s">
        <v>7</v>
      </c>
      <c r="C445" s="9" t="s">
        <v>116</v>
      </c>
      <c r="D445" s="12">
        <v>2</v>
      </c>
      <c r="E445" s="15">
        <v>7</v>
      </c>
    </row>
    <row r="446" spans="2:5" ht="30" customHeight="1" x14ac:dyDescent="0.25">
      <c r="B446" s="9" t="s">
        <v>127</v>
      </c>
      <c r="C446" s="9" t="s">
        <v>120</v>
      </c>
      <c r="D446" s="12">
        <v>7.0000000000000007E-2</v>
      </c>
      <c r="E446" s="15">
        <v>2</v>
      </c>
    </row>
    <row r="447" spans="2:5" ht="30" customHeight="1" x14ac:dyDescent="0.25">
      <c r="B447" s="9" t="s">
        <v>126</v>
      </c>
      <c r="C447" s="1" t="s">
        <v>119</v>
      </c>
      <c r="D447" s="12">
        <v>0.2</v>
      </c>
      <c r="E447" s="15">
        <v>0.8</v>
      </c>
    </row>
    <row r="448" spans="2:5" ht="30" customHeight="1" x14ac:dyDescent="0.25">
      <c r="B448" s="9" t="s">
        <v>369</v>
      </c>
      <c r="C448" s="9" t="s">
        <v>120</v>
      </c>
      <c r="D448" s="12">
        <v>0.1</v>
      </c>
      <c r="E448" s="15">
        <v>30</v>
      </c>
    </row>
    <row r="449" spans="2:5" ht="30" customHeight="1" x14ac:dyDescent="0.25">
      <c r="B449" s="9" t="s">
        <v>213</v>
      </c>
      <c r="C449" s="9" t="s">
        <v>116</v>
      </c>
      <c r="D449" s="12">
        <v>0.5</v>
      </c>
      <c r="E449" s="15">
        <v>150</v>
      </c>
    </row>
    <row r="450" spans="2:5" ht="30" customHeight="1" x14ac:dyDescent="0.25">
      <c r="B450" s="9" t="s">
        <v>6</v>
      </c>
      <c r="C450" s="9" t="s">
        <v>116</v>
      </c>
      <c r="D450" s="12">
        <v>2</v>
      </c>
      <c r="E450" s="15">
        <v>7</v>
      </c>
    </row>
    <row r="451" spans="2:5" ht="30" customHeight="1" x14ac:dyDescent="0.25">
      <c r="B451" s="9" t="s">
        <v>12</v>
      </c>
      <c r="C451" s="9" t="s">
        <v>116</v>
      </c>
      <c r="D451" s="12">
        <v>1.5</v>
      </c>
      <c r="E451" s="15">
        <v>4</v>
      </c>
    </row>
    <row r="452" spans="2:5" ht="30" customHeight="1" x14ac:dyDescent="0.25">
      <c r="B452" s="9" t="s">
        <v>128</v>
      </c>
      <c r="C452" s="9" t="s">
        <v>120</v>
      </c>
      <c r="D452" s="12">
        <v>7.0000000000000007E-2</v>
      </c>
      <c r="E452" s="15">
        <v>2</v>
      </c>
    </row>
    <row r="453" spans="2:5" ht="30" customHeight="1" x14ac:dyDescent="0.25">
      <c r="B453" s="9" t="s">
        <v>129</v>
      </c>
      <c r="C453" s="1" t="s">
        <v>119</v>
      </c>
      <c r="D453" s="12">
        <v>0.1</v>
      </c>
      <c r="E453" s="15">
        <v>0.4</v>
      </c>
    </row>
    <row r="454" spans="2:5" ht="30" customHeight="1" x14ac:dyDescent="0.25">
      <c r="B454" s="9" t="s">
        <v>339</v>
      </c>
      <c r="C454" s="9" t="s">
        <v>120</v>
      </c>
      <c r="D454" s="12">
        <v>4</v>
      </c>
      <c r="E454" s="15">
        <v>18</v>
      </c>
    </row>
    <row r="455" spans="2:5" ht="30" customHeight="1" x14ac:dyDescent="0.25">
      <c r="B455" s="9" t="s">
        <v>370</v>
      </c>
      <c r="C455" s="9" t="s">
        <v>120</v>
      </c>
      <c r="D455" s="12">
        <v>0.1</v>
      </c>
      <c r="E455" s="15">
        <v>30</v>
      </c>
    </row>
    <row r="456" spans="2:5" ht="30" customHeight="1" x14ac:dyDescent="0.25">
      <c r="B456" s="9" t="s">
        <v>267</v>
      </c>
      <c r="C456" s="1" t="s">
        <v>119</v>
      </c>
      <c r="D456" s="12">
        <v>0.1</v>
      </c>
      <c r="E456" s="15">
        <v>5</v>
      </c>
    </row>
    <row r="457" spans="2:5" ht="30" customHeight="1" x14ac:dyDescent="0.25">
      <c r="B457" s="9" t="s">
        <v>268</v>
      </c>
      <c r="C457" s="1" t="s">
        <v>119</v>
      </c>
      <c r="D457" s="12">
        <v>0.5</v>
      </c>
      <c r="E457" s="15">
        <v>70</v>
      </c>
    </row>
    <row r="458" spans="2:5" ht="30" customHeight="1" x14ac:dyDescent="0.25">
      <c r="B458" s="9" t="s">
        <v>315</v>
      </c>
      <c r="C458" s="1" t="s">
        <v>119</v>
      </c>
      <c r="D458" s="12">
        <v>0.5</v>
      </c>
      <c r="E458" s="15">
        <v>140</v>
      </c>
    </row>
    <row r="459" spans="2:5" ht="30" customHeight="1" x14ac:dyDescent="0.25">
      <c r="B459" s="9" t="s">
        <v>484</v>
      </c>
      <c r="C459" s="9" t="s">
        <v>118</v>
      </c>
      <c r="D459" s="12">
        <v>0.1</v>
      </c>
      <c r="E459" s="15">
        <v>0.6</v>
      </c>
    </row>
    <row r="460" spans="2:5" ht="30" customHeight="1" x14ac:dyDescent="0.25">
      <c r="B460" s="9" t="s">
        <v>151</v>
      </c>
      <c r="C460" s="1" t="s">
        <v>119</v>
      </c>
      <c r="D460" s="12">
        <v>0.1</v>
      </c>
      <c r="E460" s="15">
        <v>40</v>
      </c>
    </row>
    <row r="461" spans="2:5" ht="30" customHeight="1" x14ac:dyDescent="0.25">
      <c r="B461" s="9" t="s">
        <v>535</v>
      </c>
      <c r="C461" s="9" t="s">
        <v>118</v>
      </c>
      <c r="D461" s="12">
        <v>0.05</v>
      </c>
      <c r="E461" s="15">
        <v>10</v>
      </c>
    </row>
    <row r="462" spans="2:5" ht="30" customHeight="1" x14ac:dyDescent="0.25">
      <c r="B462" s="9" t="s">
        <v>331</v>
      </c>
      <c r="C462" s="1" t="s">
        <v>119</v>
      </c>
      <c r="D462" s="12">
        <v>0.01</v>
      </c>
      <c r="E462" s="15">
        <v>50</v>
      </c>
    </row>
  </sheetData>
  <conditionalFormatting sqref="B144">
    <cfRule type="expression" dxfId="16" priority="1">
      <formula>COUNTIF(item_names,$B6)&gt;1</formula>
    </cfRule>
  </conditionalFormatting>
  <dataValidations count="1">
    <dataValidation type="list" allowBlank="1" showInputMessage="1" showErrorMessage="1" sqref="C6:C462" xr:uid="{ECC23F24-975B-4B36-AA88-4A8CE27D08F3}">
      <formula1>item_category_names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8E820-A441-4CEB-BAE7-FB7D0FA954EA}">
  <dimension ref="B1:S299"/>
  <sheetViews>
    <sheetView tabSelected="1" zoomScaleNormal="100" workbookViewId="0">
      <selection activeCell="O19" sqref="O19"/>
    </sheetView>
  </sheetViews>
  <sheetFormatPr defaultColWidth="16.7109375" defaultRowHeight="30" customHeight="1" x14ac:dyDescent="0.25"/>
  <cols>
    <col min="1" max="2" width="16.7109375" style="1"/>
    <col min="3" max="3" width="32.7109375" style="1" customWidth="1"/>
    <col min="4" max="5" width="16.7109375" style="1"/>
    <col min="6" max="6" width="16.7109375" style="1" customWidth="1"/>
    <col min="7" max="7" width="28.7109375" style="1" customWidth="1"/>
    <col min="8" max="8" width="16.7109375" style="3"/>
    <col min="9" max="9" width="16.7109375" style="3" customWidth="1"/>
    <col min="10" max="10" width="16.7109375" style="1" customWidth="1"/>
    <col min="11" max="11" width="32.7109375" style="1" customWidth="1"/>
    <col min="12" max="12" width="16.7109375" style="3" customWidth="1"/>
    <col min="13" max="13" width="16.7109375" style="3"/>
    <col min="14" max="14" width="16.7109375" style="1"/>
    <col min="15" max="15" width="32.7109375" style="1" customWidth="1"/>
    <col min="16" max="16" width="16.7109375" style="10" customWidth="1"/>
    <col min="17" max="17" width="16.7109375" style="10"/>
    <col min="18" max="16384" width="16.7109375" style="1"/>
  </cols>
  <sheetData>
    <row r="1" spans="2:19" ht="30" customHeight="1" x14ac:dyDescent="0.25">
      <c r="K1" s="3"/>
      <c r="L1" s="1"/>
      <c r="O1" s="3"/>
      <c r="P1" s="1"/>
      <c r="Q1" s="3"/>
    </row>
    <row r="2" spans="2:19" ht="30" customHeight="1" x14ac:dyDescent="0.25">
      <c r="L2" s="1"/>
      <c r="O2" s="3"/>
      <c r="P2" s="1"/>
      <c r="Q2" s="3"/>
    </row>
    <row r="3" spans="2:19" ht="30" customHeight="1" x14ac:dyDescent="0.25">
      <c r="B3" s="2" t="s">
        <v>34</v>
      </c>
      <c r="C3" s="7"/>
      <c r="G3" s="2" t="s">
        <v>237</v>
      </c>
      <c r="H3" s="13" t="str">
        <f>_xlfn.XLOOKUP(C3, recipe_schemes[Item], recipe_schemes[ID], "NO MATCH")</f>
        <v>NO MATCH</v>
      </c>
      <c r="J3" s="2" t="s">
        <v>174</v>
      </c>
      <c r="K3" s="7" t="str" cm="1">
        <f t="array" ref="K3">_xlfn.TEXTJOIN(", ",TRUE,_xlfn._xlws.FILTER(recipe_outputs[Recipe ID],recipe_outputs[Item]=C3,"NO MATCH"))</f>
        <v>NO MATCH</v>
      </c>
      <c r="L3" s="1"/>
      <c r="O3" s="3"/>
      <c r="P3" s="1"/>
      <c r="Q3" s="3"/>
    </row>
    <row r="4" spans="2:19" ht="30" customHeight="1" x14ac:dyDescent="0.25">
      <c r="K4" s="3"/>
      <c r="L4" s="1"/>
      <c r="O4" s="3"/>
      <c r="P4" s="1"/>
      <c r="Q4" s="3"/>
    </row>
    <row r="5" spans="2:19" ht="30" customHeight="1" x14ac:dyDescent="0.25">
      <c r="B5" s="2" t="s">
        <v>93</v>
      </c>
      <c r="C5" s="2"/>
      <c r="D5" s="2"/>
      <c r="E5" s="2"/>
      <c r="F5" s="2"/>
      <c r="H5" s="2" t="s">
        <v>38</v>
      </c>
      <c r="K5" s="2" t="s">
        <v>17</v>
      </c>
      <c r="L5" s="1"/>
      <c r="O5" s="2" t="s">
        <v>19</v>
      </c>
      <c r="P5" s="1"/>
      <c r="Q5" s="3"/>
      <c r="S5" s="3"/>
    </row>
    <row r="6" spans="2:19" ht="30" customHeight="1" thickBot="1" x14ac:dyDescent="0.3">
      <c r="K6" s="3"/>
      <c r="L6" s="1"/>
      <c r="O6" s="3"/>
      <c r="P6" s="1"/>
      <c r="Q6" s="3"/>
    </row>
    <row r="7" spans="2:19" ht="30" customHeight="1" thickBot="1" x14ac:dyDescent="0.3">
      <c r="B7" s="1" t="s">
        <v>1</v>
      </c>
      <c r="C7" s="1" t="s">
        <v>34</v>
      </c>
      <c r="D7" s="1" t="s">
        <v>44</v>
      </c>
      <c r="E7" s="1" t="s">
        <v>45</v>
      </c>
      <c r="F7" s="1" t="s">
        <v>94</v>
      </c>
      <c r="H7" s="1" t="s">
        <v>1</v>
      </c>
      <c r="I7" s="1" t="s">
        <v>18</v>
      </c>
      <c r="K7" s="5" t="s">
        <v>34</v>
      </c>
      <c r="L7" s="5" t="s">
        <v>21</v>
      </c>
      <c r="M7" s="1" t="s">
        <v>20</v>
      </c>
      <c r="O7" s="5" t="s">
        <v>34</v>
      </c>
      <c r="P7" s="1" t="s">
        <v>21</v>
      </c>
      <c r="Q7" s="5" t="s">
        <v>20</v>
      </c>
    </row>
    <row r="8" spans="2:19" ht="30" customHeight="1" x14ac:dyDescent="0.25">
      <c r="B8" s="10">
        <v>1</v>
      </c>
      <c r="C8" s="1" t="s">
        <v>130</v>
      </c>
      <c r="D8" s="1" t="s">
        <v>42</v>
      </c>
      <c r="E8" s="17">
        <v>50</v>
      </c>
      <c r="F8" s="17">
        <v>250</v>
      </c>
      <c r="H8" s="10">
        <v>1</v>
      </c>
      <c r="I8" s="10">
        <v>3</v>
      </c>
      <c r="K8" s="1" t="s">
        <v>13</v>
      </c>
      <c r="L8" s="10">
        <v>1</v>
      </c>
      <c r="M8" s="10">
        <v>1</v>
      </c>
      <c r="O8" s="9" t="s">
        <v>5</v>
      </c>
      <c r="P8" s="11">
        <v>1</v>
      </c>
      <c r="Q8" s="10">
        <v>1</v>
      </c>
    </row>
    <row r="9" spans="2:19" ht="30" customHeight="1" x14ac:dyDescent="0.25">
      <c r="B9" s="11">
        <v>2</v>
      </c>
      <c r="C9" s="9" t="s">
        <v>131</v>
      </c>
      <c r="D9" s="1" t="s">
        <v>42</v>
      </c>
      <c r="E9" s="17">
        <v>50</v>
      </c>
      <c r="F9" s="18">
        <v>50</v>
      </c>
      <c r="H9" s="11">
        <v>2</v>
      </c>
      <c r="I9" s="11">
        <v>5</v>
      </c>
      <c r="K9" s="9" t="s">
        <v>14</v>
      </c>
      <c r="L9" s="11">
        <v>10</v>
      </c>
      <c r="M9" s="11">
        <v>1</v>
      </c>
      <c r="O9" s="9" t="s">
        <v>8</v>
      </c>
      <c r="P9" s="11">
        <v>1</v>
      </c>
      <c r="Q9" s="11">
        <v>2</v>
      </c>
    </row>
    <row r="10" spans="2:19" ht="30" customHeight="1" x14ac:dyDescent="0.25">
      <c r="B10" s="10">
        <v>3</v>
      </c>
      <c r="C10" s="9" t="s">
        <v>132</v>
      </c>
      <c r="D10" s="1" t="s">
        <v>42</v>
      </c>
      <c r="E10" s="17">
        <v>50</v>
      </c>
      <c r="F10" s="18">
        <v>100</v>
      </c>
      <c r="H10" s="10">
        <v>3</v>
      </c>
      <c r="I10" s="11">
        <v>5</v>
      </c>
      <c r="K10" s="9" t="s">
        <v>14</v>
      </c>
      <c r="L10" s="11">
        <v>10</v>
      </c>
      <c r="M10" s="11">
        <v>2</v>
      </c>
      <c r="O10" s="9" t="s">
        <v>9</v>
      </c>
      <c r="P10" s="11">
        <v>1</v>
      </c>
      <c r="Q10" s="10">
        <v>3</v>
      </c>
    </row>
    <row r="11" spans="2:19" ht="30" customHeight="1" x14ac:dyDescent="0.25">
      <c r="B11" s="11">
        <v>4</v>
      </c>
      <c r="C11" s="9" t="s">
        <v>133</v>
      </c>
      <c r="D11" s="1" t="s">
        <v>42</v>
      </c>
      <c r="E11" s="17">
        <v>50</v>
      </c>
      <c r="F11" s="18">
        <v>50</v>
      </c>
      <c r="H11" s="11">
        <v>4</v>
      </c>
      <c r="I11" s="11">
        <v>2</v>
      </c>
      <c r="K11" s="9" t="s">
        <v>15</v>
      </c>
      <c r="L11" s="11">
        <v>2</v>
      </c>
      <c r="M11" s="11">
        <v>2</v>
      </c>
      <c r="O11" s="9" t="s">
        <v>6</v>
      </c>
      <c r="P11" s="11">
        <v>1</v>
      </c>
      <c r="Q11" s="11">
        <v>4</v>
      </c>
    </row>
    <row r="12" spans="2:19" ht="30" customHeight="1" x14ac:dyDescent="0.25">
      <c r="B12" s="10">
        <v>5</v>
      </c>
      <c r="C12" s="9" t="s">
        <v>134</v>
      </c>
      <c r="D12" s="1" t="s">
        <v>42</v>
      </c>
      <c r="E12" s="18">
        <v>100</v>
      </c>
      <c r="F12" s="18">
        <v>250</v>
      </c>
      <c r="H12" s="10">
        <v>5</v>
      </c>
      <c r="I12" s="11">
        <v>3</v>
      </c>
      <c r="K12" s="9" t="s">
        <v>13</v>
      </c>
      <c r="L12" s="11">
        <v>1</v>
      </c>
      <c r="M12" s="11">
        <v>3</v>
      </c>
      <c r="O12" s="9" t="s">
        <v>211</v>
      </c>
      <c r="P12" s="11">
        <v>1</v>
      </c>
      <c r="Q12" s="10">
        <v>5</v>
      </c>
    </row>
    <row r="13" spans="2:19" ht="30" customHeight="1" x14ac:dyDescent="0.25">
      <c r="B13" s="11">
        <v>6</v>
      </c>
      <c r="C13" s="9" t="s">
        <v>135</v>
      </c>
      <c r="D13" s="1" t="s">
        <v>42</v>
      </c>
      <c r="E13" s="18">
        <v>100</v>
      </c>
      <c r="F13" s="18">
        <v>250</v>
      </c>
      <c r="H13" s="11">
        <v>6</v>
      </c>
      <c r="I13" s="11">
        <v>3</v>
      </c>
      <c r="K13" s="9" t="s">
        <v>15</v>
      </c>
      <c r="L13" s="11">
        <v>4</v>
      </c>
      <c r="M13" s="11">
        <v>3</v>
      </c>
      <c r="O13" s="9" t="s">
        <v>35</v>
      </c>
      <c r="P13" s="11">
        <v>1</v>
      </c>
      <c r="Q13" s="11">
        <v>6</v>
      </c>
    </row>
    <row r="14" spans="2:19" ht="30" customHeight="1" x14ac:dyDescent="0.25">
      <c r="B14" s="10">
        <v>7</v>
      </c>
      <c r="C14" s="9" t="s">
        <v>136</v>
      </c>
      <c r="D14" s="1" t="s">
        <v>42</v>
      </c>
      <c r="E14" s="18">
        <v>100</v>
      </c>
      <c r="F14" s="18">
        <v>250</v>
      </c>
      <c r="H14" s="10">
        <v>7</v>
      </c>
      <c r="I14" s="11">
        <v>5</v>
      </c>
      <c r="K14" s="9" t="s">
        <v>13</v>
      </c>
      <c r="L14" s="11">
        <v>2</v>
      </c>
      <c r="M14" s="11">
        <v>4</v>
      </c>
      <c r="O14" s="9" t="s">
        <v>11</v>
      </c>
      <c r="P14" s="11">
        <v>1</v>
      </c>
      <c r="Q14" s="10">
        <v>7</v>
      </c>
    </row>
    <row r="15" spans="2:19" ht="30" customHeight="1" x14ac:dyDescent="0.25">
      <c r="B15" s="11">
        <v>8</v>
      </c>
      <c r="C15" s="9" t="s">
        <v>137</v>
      </c>
      <c r="D15" s="1" t="s">
        <v>42</v>
      </c>
      <c r="E15" s="18">
        <v>100</v>
      </c>
      <c r="F15" s="18">
        <v>100</v>
      </c>
      <c r="H15" s="11">
        <v>8</v>
      </c>
      <c r="I15" s="11">
        <v>6</v>
      </c>
      <c r="K15" s="9" t="s">
        <v>13</v>
      </c>
      <c r="L15" s="11">
        <v>1</v>
      </c>
      <c r="M15" s="11">
        <v>5</v>
      </c>
      <c r="O15" s="9" t="s">
        <v>10</v>
      </c>
      <c r="P15" s="11">
        <v>1</v>
      </c>
      <c r="Q15" s="11">
        <v>8</v>
      </c>
    </row>
    <row r="16" spans="2:19" ht="30" customHeight="1" x14ac:dyDescent="0.25">
      <c r="B16" s="10">
        <v>9</v>
      </c>
      <c r="C16" s="9" t="s">
        <v>138</v>
      </c>
      <c r="D16" s="1" t="s">
        <v>42</v>
      </c>
      <c r="E16" s="18">
        <v>100</v>
      </c>
      <c r="F16" s="18">
        <v>250</v>
      </c>
      <c r="H16" s="10">
        <v>9</v>
      </c>
      <c r="I16" s="11">
        <v>3</v>
      </c>
      <c r="K16" s="9" t="s">
        <v>14</v>
      </c>
      <c r="L16" s="11">
        <v>5</v>
      </c>
      <c r="M16" s="11">
        <v>5</v>
      </c>
      <c r="O16" s="9" t="s">
        <v>12</v>
      </c>
      <c r="P16" s="11">
        <v>1</v>
      </c>
      <c r="Q16" s="10">
        <v>9</v>
      </c>
    </row>
    <row r="17" spans="2:17" ht="30" customHeight="1" x14ac:dyDescent="0.25">
      <c r="B17" s="11">
        <v>10</v>
      </c>
      <c r="C17" s="9" t="s">
        <v>139</v>
      </c>
      <c r="D17" s="1" t="s">
        <v>42</v>
      </c>
      <c r="E17" s="18">
        <v>100</v>
      </c>
      <c r="F17" s="18">
        <v>100</v>
      </c>
      <c r="H17" s="11">
        <v>10</v>
      </c>
      <c r="I17" s="11">
        <v>2</v>
      </c>
      <c r="K17" s="9" t="s">
        <v>16</v>
      </c>
      <c r="L17" s="11">
        <v>1</v>
      </c>
      <c r="M17" s="11">
        <v>6</v>
      </c>
      <c r="O17" s="9" t="s">
        <v>36</v>
      </c>
      <c r="P17" s="11">
        <v>1</v>
      </c>
      <c r="Q17" s="11">
        <v>10</v>
      </c>
    </row>
    <row r="18" spans="2:17" ht="30" customHeight="1" x14ac:dyDescent="0.25">
      <c r="B18" s="10">
        <v>11</v>
      </c>
      <c r="C18" s="9" t="s">
        <v>140</v>
      </c>
      <c r="D18" s="1" t="s">
        <v>42</v>
      </c>
      <c r="E18" s="18">
        <v>100</v>
      </c>
      <c r="F18" s="18">
        <v>250</v>
      </c>
      <c r="H18" s="10">
        <v>11</v>
      </c>
      <c r="I18" s="11">
        <v>2</v>
      </c>
      <c r="K18" s="9" t="s">
        <v>14</v>
      </c>
      <c r="L18" s="11">
        <v>4</v>
      </c>
      <c r="M18" s="11">
        <v>7</v>
      </c>
      <c r="O18" s="9" t="s">
        <v>37</v>
      </c>
      <c r="P18" s="11">
        <v>1</v>
      </c>
      <c r="Q18" s="10">
        <v>11</v>
      </c>
    </row>
    <row r="19" spans="2:17" ht="30" customHeight="1" x14ac:dyDescent="0.25">
      <c r="B19" s="11">
        <v>12</v>
      </c>
      <c r="C19" s="9" t="s">
        <v>141</v>
      </c>
      <c r="D19" s="1" t="s">
        <v>42</v>
      </c>
      <c r="E19" s="18">
        <v>100</v>
      </c>
      <c r="F19" s="18">
        <v>100</v>
      </c>
      <c r="H19" s="10"/>
      <c r="I19" s="10"/>
      <c r="K19" s="9" t="s">
        <v>15</v>
      </c>
      <c r="L19" s="11">
        <v>4</v>
      </c>
      <c r="M19" s="11">
        <v>7</v>
      </c>
    </row>
    <row r="20" spans="2:17" ht="30" customHeight="1" x14ac:dyDescent="0.25">
      <c r="B20" s="10">
        <v>13</v>
      </c>
      <c r="C20" s="9" t="s">
        <v>142</v>
      </c>
      <c r="D20" s="1" t="s">
        <v>42</v>
      </c>
      <c r="E20" s="18">
        <v>100</v>
      </c>
      <c r="F20" s="18">
        <v>250</v>
      </c>
      <c r="H20" s="10"/>
      <c r="I20" s="10"/>
      <c r="K20" s="9" t="s">
        <v>14</v>
      </c>
      <c r="L20" s="11">
        <v>5</v>
      </c>
      <c r="M20" s="11">
        <v>8</v>
      </c>
    </row>
    <row r="21" spans="2:17" ht="30" customHeight="1" x14ac:dyDescent="0.25">
      <c r="B21" s="11">
        <v>14</v>
      </c>
      <c r="C21" s="9" t="s">
        <v>143</v>
      </c>
      <c r="D21" s="1" t="s">
        <v>42</v>
      </c>
      <c r="E21" s="18">
        <v>100</v>
      </c>
      <c r="F21" s="18">
        <v>150</v>
      </c>
      <c r="H21" s="10"/>
      <c r="I21" s="10"/>
      <c r="K21" s="9" t="s">
        <v>15</v>
      </c>
      <c r="L21" s="11">
        <v>2</v>
      </c>
      <c r="M21" s="11">
        <v>8</v>
      </c>
    </row>
    <row r="22" spans="2:17" ht="30" customHeight="1" x14ac:dyDescent="0.25">
      <c r="B22" s="10">
        <v>15</v>
      </c>
      <c r="C22" s="9" t="s">
        <v>144</v>
      </c>
      <c r="D22" s="1" t="s">
        <v>42</v>
      </c>
      <c r="E22" s="18">
        <v>100</v>
      </c>
      <c r="F22" s="18">
        <v>150</v>
      </c>
      <c r="H22" s="10"/>
      <c r="I22" s="10"/>
      <c r="K22" s="9" t="s">
        <v>13</v>
      </c>
      <c r="L22" s="11">
        <v>1</v>
      </c>
      <c r="M22" s="11">
        <v>9</v>
      </c>
    </row>
    <row r="23" spans="2:17" ht="30" customHeight="1" x14ac:dyDescent="0.25">
      <c r="B23" s="11">
        <v>16</v>
      </c>
      <c r="C23" s="9" t="s">
        <v>145</v>
      </c>
      <c r="D23" s="1" t="s">
        <v>42</v>
      </c>
      <c r="E23" s="18">
        <v>100</v>
      </c>
      <c r="F23" s="18">
        <v>150</v>
      </c>
      <c r="H23" s="10"/>
      <c r="I23" s="10"/>
      <c r="K23" s="9" t="s">
        <v>14</v>
      </c>
      <c r="L23" s="11">
        <v>1</v>
      </c>
      <c r="M23" s="11">
        <v>10</v>
      </c>
    </row>
    <row r="24" spans="2:17" ht="30" customHeight="1" x14ac:dyDescent="0.25">
      <c r="B24" s="10">
        <v>17</v>
      </c>
      <c r="C24" s="9" t="s">
        <v>146</v>
      </c>
      <c r="D24" s="1" t="s">
        <v>42</v>
      </c>
      <c r="E24" s="18">
        <v>100</v>
      </c>
      <c r="F24" s="18">
        <v>150</v>
      </c>
      <c r="H24" s="10"/>
      <c r="I24" s="10"/>
      <c r="K24" s="9" t="s">
        <v>22</v>
      </c>
      <c r="L24" s="11">
        <v>9</v>
      </c>
      <c r="M24" s="11">
        <v>10</v>
      </c>
    </row>
    <row r="25" spans="2:17" ht="30" customHeight="1" x14ac:dyDescent="0.25">
      <c r="B25" s="11">
        <v>18</v>
      </c>
      <c r="C25" s="9" t="s">
        <v>147</v>
      </c>
      <c r="D25" s="1" t="s">
        <v>42</v>
      </c>
      <c r="E25" s="18">
        <v>100</v>
      </c>
      <c r="F25" s="18">
        <v>150</v>
      </c>
      <c r="H25" s="10"/>
      <c r="I25" s="10"/>
      <c r="L25" s="10"/>
      <c r="M25" s="10"/>
    </row>
    <row r="26" spans="2:17" ht="30" customHeight="1" x14ac:dyDescent="0.25">
      <c r="B26" s="10">
        <v>19</v>
      </c>
      <c r="C26" s="9" t="s">
        <v>148</v>
      </c>
      <c r="D26" s="1" t="s">
        <v>42</v>
      </c>
      <c r="E26" s="18">
        <v>100</v>
      </c>
      <c r="F26" s="18">
        <v>150</v>
      </c>
      <c r="H26" s="10"/>
      <c r="I26" s="10"/>
      <c r="L26" s="10"/>
      <c r="M26" s="10"/>
    </row>
    <row r="27" spans="2:17" ht="30" customHeight="1" x14ac:dyDescent="0.25">
      <c r="B27" s="11">
        <v>20</v>
      </c>
      <c r="C27" s="9" t="s">
        <v>149</v>
      </c>
      <c r="D27" s="1" t="s">
        <v>42</v>
      </c>
      <c r="E27" s="18">
        <v>100</v>
      </c>
      <c r="F27" s="18">
        <v>150</v>
      </c>
      <c r="H27" s="10"/>
      <c r="I27" s="10"/>
      <c r="L27" s="10"/>
      <c r="M27" s="10"/>
    </row>
    <row r="28" spans="2:17" ht="30" customHeight="1" x14ac:dyDescent="0.25">
      <c r="B28" s="10">
        <v>21</v>
      </c>
      <c r="C28" s="9" t="s">
        <v>150</v>
      </c>
      <c r="D28" s="1" t="s">
        <v>42</v>
      </c>
      <c r="E28" s="18">
        <v>100</v>
      </c>
      <c r="F28" s="18">
        <v>150</v>
      </c>
      <c r="H28" s="10"/>
      <c r="I28" s="10"/>
      <c r="L28" s="10"/>
      <c r="M28" s="10"/>
    </row>
    <row r="29" spans="2:17" ht="30" customHeight="1" x14ac:dyDescent="0.25">
      <c r="B29" s="11">
        <v>22</v>
      </c>
      <c r="C29" s="9" t="s">
        <v>324</v>
      </c>
      <c r="D29" s="1" t="s">
        <v>42</v>
      </c>
      <c r="E29" s="18">
        <v>100</v>
      </c>
      <c r="F29" s="18">
        <v>250</v>
      </c>
      <c r="H29" s="10"/>
      <c r="I29" s="10"/>
      <c r="L29" s="10"/>
      <c r="M29" s="10"/>
    </row>
    <row r="30" spans="2:17" ht="30" customHeight="1" x14ac:dyDescent="0.25">
      <c r="B30" s="10">
        <v>23</v>
      </c>
      <c r="C30" s="9" t="s">
        <v>151</v>
      </c>
      <c r="D30" s="1" t="s">
        <v>42</v>
      </c>
      <c r="E30" s="18">
        <v>100</v>
      </c>
      <c r="F30" s="18">
        <v>250</v>
      </c>
      <c r="H30" s="10"/>
      <c r="I30" s="10"/>
      <c r="L30" s="10"/>
      <c r="M30" s="10"/>
    </row>
    <row r="31" spans="2:17" ht="30" customHeight="1" x14ac:dyDescent="0.25">
      <c r="B31" s="11">
        <v>24</v>
      </c>
      <c r="C31" s="9" t="s">
        <v>319</v>
      </c>
      <c r="D31" s="1" t="s">
        <v>42</v>
      </c>
      <c r="E31" s="18">
        <v>100</v>
      </c>
      <c r="F31" s="18">
        <v>250</v>
      </c>
      <c r="H31" s="10"/>
      <c r="I31" s="10"/>
      <c r="L31" s="10"/>
      <c r="M31" s="10"/>
    </row>
    <row r="32" spans="2:17" ht="30" customHeight="1" x14ac:dyDescent="0.25">
      <c r="B32" s="10">
        <v>25</v>
      </c>
      <c r="C32" s="9" t="s">
        <v>152</v>
      </c>
      <c r="D32" s="1" t="s">
        <v>42</v>
      </c>
      <c r="E32" s="18">
        <v>100</v>
      </c>
      <c r="F32" s="18">
        <v>250</v>
      </c>
      <c r="H32" s="10"/>
      <c r="I32" s="10"/>
      <c r="L32" s="10"/>
      <c r="M32" s="10"/>
    </row>
    <row r="33" spans="2:13" ht="30" customHeight="1" x14ac:dyDescent="0.25">
      <c r="B33" s="11">
        <v>26</v>
      </c>
      <c r="C33" s="9" t="s">
        <v>177</v>
      </c>
      <c r="D33" s="1" t="s">
        <v>42</v>
      </c>
      <c r="E33" s="18">
        <v>500</v>
      </c>
      <c r="F33" s="18">
        <v>500</v>
      </c>
      <c r="H33" s="10"/>
      <c r="I33" s="10"/>
      <c r="L33" s="10"/>
      <c r="M33" s="10"/>
    </row>
    <row r="34" spans="2:13" ht="30" customHeight="1" x14ac:dyDescent="0.25">
      <c r="B34" s="11">
        <v>27</v>
      </c>
      <c r="C34" s="9" t="s">
        <v>178</v>
      </c>
      <c r="D34" s="9" t="s">
        <v>42</v>
      </c>
      <c r="E34" s="18">
        <v>1000</v>
      </c>
      <c r="F34" s="18">
        <v>1500</v>
      </c>
      <c r="H34" s="10"/>
      <c r="I34" s="10"/>
      <c r="L34" s="10"/>
      <c r="M34" s="10"/>
    </row>
    <row r="35" spans="2:13" ht="30" customHeight="1" x14ac:dyDescent="0.25">
      <c r="B35" s="11">
        <v>28</v>
      </c>
      <c r="C35" s="9" t="s">
        <v>522</v>
      </c>
      <c r="D35" s="9" t="s">
        <v>42</v>
      </c>
      <c r="E35" s="18">
        <v>2500</v>
      </c>
      <c r="F35" s="18">
        <v>550</v>
      </c>
      <c r="H35" s="10"/>
      <c r="I35" s="10"/>
      <c r="L35" s="10"/>
      <c r="M35" s="10"/>
    </row>
    <row r="36" spans="2:13" ht="30" customHeight="1" x14ac:dyDescent="0.25">
      <c r="B36" s="11">
        <v>29</v>
      </c>
      <c r="C36" s="9" t="s">
        <v>523</v>
      </c>
      <c r="D36" s="9" t="s">
        <v>42</v>
      </c>
      <c r="E36" s="18">
        <v>2500</v>
      </c>
      <c r="F36" s="18">
        <v>550</v>
      </c>
      <c r="H36" s="10"/>
      <c r="I36" s="10"/>
      <c r="L36" s="10"/>
      <c r="M36" s="10"/>
    </row>
    <row r="37" spans="2:13" ht="30" customHeight="1" x14ac:dyDescent="0.25">
      <c r="B37" s="11">
        <v>30</v>
      </c>
      <c r="C37" s="9" t="s">
        <v>525</v>
      </c>
      <c r="D37" s="9" t="s">
        <v>42</v>
      </c>
      <c r="E37" s="18">
        <v>2500</v>
      </c>
      <c r="F37" s="18">
        <v>550</v>
      </c>
      <c r="H37" s="10"/>
      <c r="I37" s="10"/>
      <c r="L37" s="10"/>
      <c r="M37" s="10"/>
    </row>
    <row r="38" spans="2:13" ht="30" customHeight="1" x14ac:dyDescent="0.25">
      <c r="B38" s="11">
        <v>31</v>
      </c>
      <c r="C38" s="9" t="s">
        <v>526</v>
      </c>
      <c r="D38" s="9" t="s">
        <v>42</v>
      </c>
      <c r="E38" s="18">
        <v>2500</v>
      </c>
      <c r="F38" s="18">
        <v>550</v>
      </c>
      <c r="H38" s="10"/>
      <c r="I38" s="10"/>
      <c r="L38" s="10"/>
      <c r="M38" s="10"/>
    </row>
    <row r="39" spans="2:13" ht="30" customHeight="1" x14ac:dyDescent="0.25">
      <c r="B39" s="11">
        <v>32</v>
      </c>
      <c r="C39" s="9" t="s">
        <v>527</v>
      </c>
      <c r="D39" s="9" t="s">
        <v>42</v>
      </c>
      <c r="E39" s="18">
        <v>2500</v>
      </c>
      <c r="F39" s="18">
        <v>550</v>
      </c>
      <c r="H39" s="10"/>
      <c r="I39" s="10"/>
      <c r="L39" s="10"/>
      <c r="M39" s="10"/>
    </row>
    <row r="40" spans="2:13" ht="30" customHeight="1" x14ac:dyDescent="0.25">
      <c r="B40" s="11">
        <v>33</v>
      </c>
      <c r="C40" s="9" t="s">
        <v>528</v>
      </c>
      <c r="D40" s="9" t="s">
        <v>42</v>
      </c>
      <c r="E40" s="18">
        <v>2500</v>
      </c>
      <c r="F40" s="18">
        <v>550</v>
      </c>
      <c r="H40" s="10"/>
      <c r="I40" s="10"/>
      <c r="L40" s="10"/>
      <c r="M40" s="10"/>
    </row>
    <row r="41" spans="2:13" ht="30" customHeight="1" x14ac:dyDescent="0.25">
      <c r="B41" s="11">
        <v>34</v>
      </c>
      <c r="C41" s="9" t="s">
        <v>529</v>
      </c>
      <c r="D41" s="9" t="s">
        <v>42</v>
      </c>
      <c r="E41" s="18">
        <v>2500</v>
      </c>
      <c r="F41" s="18">
        <v>550</v>
      </c>
      <c r="H41" s="10"/>
      <c r="I41" s="10"/>
      <c r="L41" s="10"/>
      <c r="M41" s="10"/>
    </row>
    <row r="42" spans="2:13" ht="30" customHeight="1" x14ac:dyDescent="0.25">
      <c r="B42" s="11">
        <v>35</v>
      </c>
      <c r="C42" s="9" t="s">
        <v>530</v>
      </c>
      <c r="D42" s="9" t="s">
        <v>42</v>
      </c>
      <c r="E42" s="18">
        <v>2500</v>
      </c>
      <c r="F42" s="18">
        <v>550</v>
      </c>
      <c r="H42" s="10"/>
      <c r="I42" s="10"/>
      <c r="L42" s="10"/>
      <c r="M42" s="10"/>
    </row>
    <row r="43" spans="2:13" ht="30" customHeight="1" x14ac:dyDescent="0.25">
      <c r="B43" s="11">
        <v>36</v>
      </c>
      <c r="C43" s="9" t="s">
        <v>320</v>
      </c>
      <c r="D43" s="9" t="s">
        <v>42</v>
      </c>
      <c r="E43" s="18">
        <v>2500</v>
      </c>
      <c r="F43" s="18">
        <v>550</v>
      </c>
      <c r="H43" s="10"/>
      <c r="I43" s="10"/>
      <c r="L43" s="10"/>
      <c r="M43" s="10"/>
    </row>
    <row r="44" spans="2:13" ht="30" customHeight="1" x14ac:dyDescent="0.25">
      <c r="B44" s="11">
        <v>37</v>
      </c>
      <c r="C44" s="9" t="s">
        <v>321</v>
      </c>
      <c r="D44" s="9" t="s">
        <v>42</v>
      </c>
      <c r="E44" s="18">
        <v>2500</v>
      </c>
      <c r="F44" s="18">
        <v>550</v>
      </c>
      <c r="H44" s="10"/>
      <c r="I44" s="10"/>
      <c r="L44" s="10"/>
      <c r="M44" s="10"/>
    </row>
    <row r="45" spans="2:13" ht="30" customHeight="1" x14ac:dyDescent="0.25">
      <c r="B45" s="11">
        <v>38</v>
      </c>
      <c r="C45" s="9" t="s">
        <v>322</v>
      </c>
      <c r="D45" s="9" t="s">
        <v>42</v>
      </c>
      <c r="E45" s="18">
        <v>2500</v>
      </c>
      <c r="F45" s="18">
        <v>550</v>
      </c>
      <c r="H45" s="10"/>
      <c r="I45" s="10"/>
      <c r="L45" s="10"/>
      <c r="M45" s="10"/>
    </row>
    <row r="46" spans="2:13" ht="30" customHeight="1" x14ac:dyDescent="0.25">
      <c r="B46" s="11">
        <v>39</v>
      </c>
      <c r="C46" s="9" t="s">
        <v>524</v>
      </c>
      <c r="D46" s="9" t="s">
        <v>42</v>
      </c>
      <c r="E46" s="18">
        <v>2500</v>
      </c>
      <c r="F46" s="18">
        <v>550</v>
      </c>
      <c r="H46" s="10"/>
      <c r="I46" s="10"/>
      <c r="L46" s="10"/>
      <c r="M46" s="10"/>
    </row>
    <row r="47" spans="2:13" ht="30" customHeight="1" x14ac:dyDescent="0.25">
      <c r="B47" s="11">
        <v>40</v>
      </c>
      <c r="C47" s="9" t="s">
        <v>108</v>
      </c>
      <c r="D47" s="9" t="s">
        <v>41</v>
      </c>
      <c r="E47" s="18">
        <v>10</v>
      </c>
      <c r="F47" s="18">
        <v>50</v>
      </c>
      <c r="H47" s="10"/>
      <c r="I47" s="10"/>
      <c r="L47" s="10"/>
      <c r="M47" s="10"/>
    </row>
    <row r="48" spans="2:13" ht="30" customHeight="1" x14ac:dyDescent="0.25">
      <c r="B48" s="11">
        <v>41</v>
      </c>
      <c r="C48" s="9" t="s">
        <v>109</v>
      </c>
      <c r="D48" s="9" t="s">
        <v>41</v>
      </c>
      <c r="E48" s="18">
        <v>10</v>
      </c>
      <c r="F48" s="18">
        <v>50</v>
      </c>
      <c r="H48" s="10"/>
      <c r="I48" s="10"/>
      <c r="L48" s="10"/>
      <c r="M48" s="10"/>
    </row>
    <row r="49" spans="2:13" ht="30" customHeight="1" x14ac:dyDescent="0.25">
      <c r="B49" s="11">
        <v>42</v>
      </c>
      <c r="C49" s="9" t="s">
        <v>110</v>
      </c>
      <c r="D49" s="9" t="s">
        <v>41</v>
      </c>
      <c r="E49" s="18">
        <v>50</v>
      </c>
      <c r="F49" s="18">
        <v>50</v>
      </c>
      <c r="H49" s="10"/>
      <c r="I49" s="10"/>
      <c r="L49" s="10"/>
      <c r="M49" s="10"/>
    </row>
    <row r="50" spans="2:13" ht="30" customHeight="1" x14ac:dyDescent="0.25">
      <c r="B50" s="11">
        <v>43</v>
      </c>
      <c r="C50" s="9" t="s">
        <v>123</v>
      </c>
      <c r="D50" s="9" t="s">
        <v>43</v>
      </c>
      <c r="E50" s="18">
        <v>5</v>
      </c>
      <c r="F50" s="18">
        <v>50</v>
      </c>
      <c r="H50" s="10"/>
      <c r="I50" s="10"/>
      <c r="L50" s="10"/>
      <c r="M50" s="10"/>
    </row>
    <row r="51" spans="2:13" ht="30" customHeight="1" x14ac:dyDescent="0.25">
      <c r="B51" s="11">
        <v>44</v>
      </c>
      <c r="C51" s="9" t="s">
        <v>124</v>
      </c>
      <c r="D51" s="9" t="s">
        <v>43</v>
      </c>
      <c r="E51" s="18">
        <v>5</v>
      </c>
      <c r="F51" s="18">
        <v>100</v>
      </c>
      <c r="H51" s="10"/>
      <c r="I51" s="10"/>
      <c r="L51" s="10"/>
      <c r="M51" s="10"/>
    </row>
    <row r="52" spans="2:13" ht="30" customHeight="1" x14ac:dyDescent="0.25">
      <c r="B52" s="11">
        <v>45</v>
      </c>
      <c r="C52" s="9" t="s">
        <v>125</v>
      </c>
      <c r="D52" s="9" t="s">
        <v>43</v>
      </c>
      <c r="E52" s="18">
        <v>5</v>
      </c>
      <c r="F52" s="18">
        <v>100</v>
      </c>
      <c r="H52" s="10"/>
      <c r="I52" s="10"/>
      <c r="L52" s="10"/>
      <c r="M52" s="10"/>
    </row>
    <row r="53" spans="2:13" ht="30" customHeight="1" x14ac:dyDescent="0.25">
      <c r="B53" s="11">
        <v>46</v>
      </c>
      <c r="C53" s="9" t="s">
        <v>126</v>
      </c>
      <c r="D53" s="9" t="s">
        <v>43</v>
      </c>
      <c r="E53" s="18">
        <v>5</v>
      </c>
      <c r="F53" s="18">
        <v>100</v>
      </c>
      <c r="H53" s="10"/>
      <c r="I53" s="10"/>
      <c r="L53" s="10"/>
      <c r="M53" s="10"/>
    </row>
    <row r="54" spans="2:13" ht="30" customHeight="1" x14ac:dyDescent="0.25">
      <c r="B54" s="11">
        <v>47</v>
      </c>
      <c r="C54" s="9" t="s">
        <v>127</v>
      </c>
      <c r="D54" s="9" t="s">
        <v>43</v>
      </c>
      <c r="E54" s="18">
        <v>5</v>
      </c>
      <c r="F54" s="18">
        <v>50</v>
      </c>
      <c r="H54" s="10"/>
      <c r="I54" s="10"/>
      <c r="L54" s="10"/>
      <c r="M54" s="10"/>
    </row>
    <row r="55" spans="2:13" ht="30" customHeight="1" x14ac:dyDescent="0.25">
      <c r="B55" s="11">
        <v>48</v>
      </c>
      <c r="C55" s="9" t="s">
        <v>128</v>
      </c>
      <c r="D55" s="9" t="s">
        <v>43</v>
      </c>
      <c r="E55" s="18">
        <v>5</v>
      </c>
      <c r="F55" s="18">
        <v>50</v>
      </c>
      <c r="H55" s="10"/>
      <c r="I55" s="10"/>
      <c r="L55" s="10"/>
      <c r="M55" s="10"/>
    </row>
    <row r="56" spans="2:13" ht="30" customHeight="1" x14ac:dyDescent="0.25">
      <c r="B56" s="11">
        <v>49</v>
      </c>
      <c r="C56" s="9" t="s">
        <v>98</v>
      </c>
      <c r="D56" s="9" t="s">
        <v>43</v>
      </c>
      <c r="E56" s="18">
        <v>5</v>
      </c>
      <c r="F56" s="18">
        <v>100</v>
      </c>
      <c r="H56" s="10"/>
      <c r="I56" s="10"/>
      <c r="L56" s="10"/>
      <c r="M56" s="10"/>
    </row>
    <row r="57" spans="2:13" ht="30" customHeight="1" x14ac:dyDescent="0.25">
      <c r="B57" s="11">
        <v>50</v>
      </c>
      <c r="C57" s="9" t="s">
        <v>129</v>
      </c>
      <c r="D57" s="9" t="s">
        <v>43</v>
      </c>
      <c r="E57" s="18">
        <v>5</v>
      </c>
      <c r="F57" s="18">
        <v>50</v>
      </c>
      <c r="H57" s="10"/>
      <c r="I57" s="10"/>
      <c r="L57" s="10"/>
      <c r="M57" s="10"/>
    </row>
    <row r="58" spans="2:13" ht="30" customHeight="1" x14ac:dyDescent="0.25">
      <c r="B58" s="11">
        <v>51</v>
      </c>
      <c r="C58" s="9" t="s">
        <v>180</v>
      </c>
      <c r="D58" s="9" t="s">
        <v>43</v>
      </c>
      <c r="E58" s="18">
        <v>25</v>
      </c>
      <c r="F58" s="18">
        <v>50</v>
      </c>
      <c r="H58" s="10"/>
      <c r="I58" s="10"/>
      <c r="L58" s="10"/>
      <c r="M58" s="10"/>
    </row>
    <row r="59" spans="2:13" ht="30" customHeight="1" x14ac:dyDescent="0.25">
      <c r="B59" s="11">
        <v>52</v>
      </c>
      <c r="C59" s="9" t="s">
        <v>181</v>
      </c>
      <c r="D59" s="9" t="s">
        <v>43</v>
      </c>
      <c r="E59" s="18">
        <v>25</v>
      </c>
      <c r="F59" s="18">
        <v>50</v>
      </c>
      <c r="H59" s="10"/>
      <c r="I59" s="10"/>
      <c r="L59" s="10"/>
      <c r="M59" s="10"/>
    </row>
    <row r="60" spans="2:13" ht="30" customHeight="1" x14ac:dyDescent="0.25">
      <c r="B60" s="11">
        <v>53</v>
      </c>
      <c r="C60" s="9" t="s">
        <v>182</v>
      </c>
      <c r="D60" s="9" t="s">
        <v>43</v>
      </c>
      <c r="E60" s="18">
        <v>25</v>
      </c>
      <c r="F60" s="18">
        <v>100</v>
      </c>
      <c r="H60" s="10"/>
      <c r="I60" s="10"/>
      <c r="L60" s="10"/>
      <c r="M60" s="10"/>
    </row>
    <row r="61" spans="2:13" ht="30" customHeight="1" x14ac:dyDescent="0.25">
      <c r="B61" s="11">
        <v>54</v>
      </c>
      <c r="C61" s="9" t="s">
        <v>183</v>
      </c>
      <c r="D61" s="9" t="s">
        <v>43</v>
      </c>
      <c r="E61" s="18">
        <v>25</v>
      </c>
      <c r="F61" s="18">
        <v>100</v>
      </c>
      <c r="H61" s="10"/>
      <c r="I61" s="10"/>
      <c r="L61" s="10"/>
      <c r="M61" s="10"/>
    </row>
    <row r="62" spans="2:13" ht="30" customHeight="1" x14ac:dyDescent="0.25">
      <c r="B62" s="11">
        <v>55</v>
      </c>
      <c r="C62" s="9" t="s">
        <v>184</v>
      </c>
      <c r="D62" s="9" t="s">
        <v>43</v>
      </c>
      <c r="E62" s="18">
        <v>25</v>
      </c>
      <c r="F62" s="18">
        <v>150</v>
      </c>
      <c r="H62" s="10"/>
      <c r="I62" s="10"/>
      <c r="L62" s="10"/>
      <c r="M62" s="10"/>
    </row>
    <row r="63" spans="2:13" ht="30" customHeight="1" x14ac:dyDescent="0.25">
      <c r="B63" s="11">
        <v>56</v>
      </c>
      <c r="C63" s="9" t="s">
        <v>185</v>
      </c>
      <c r="D63" s="9" t="s">
        <v>43</v>
      </c>
      <c r="E63" s="18">
        <v>25</v>
      </c>
      <c r="F63" s="18">
        <v>150</v>
      </c>
      <c r="H63" s="10"/>
      <c r="I63" s="10"/>
      <c r="L63" s="10"/>
      <c r="M63" s="10"/>
    </row>
    <row r="64" spans="2:13" ht="30" customHeight="1" x14ac:dyDescent="0.25">
      <c r="B64" s="11">
        <v>57</v>
      </c>
      <c r="C64" s="9" t="s">
        <v>186</v>
      </c>
      <c r="D64" s="9" t="s">
        <v>43</v>
      </c>
      <c r="E64" s="18">
        <v>25</v>
      </c>
      <c r="F64" s="18">
        <v>25</v>
      </c>
      <c r="H64" s="10"/>
      <c r="I64" s="10"/>
      <c r="L64" s="10"/>
      <c r="M64" s="10"/>
    </row>
    <row r="65" spans="2:13" ht="30" customHeight="1" x14ac:dyDescent="0.25">
      <c r="B65" s="11">
        <v>58</v>
      </c>
      <c r="C65" s="9" t="s">
        <v>187</v>
      </c>
      <c r="D65" s="9" t="s">
        <v>43</v>
      </c>
      <c r="E65" s="18">
        <v>25</v>
      </c>
      <c r="F65" s="18">
        <v>100</v>
      </c>
      <c r="H65" s="10"/>
      <c r="I65" s="10"/>
      <c r="L65" s="10"/>
      <c r="M65" s="10"/>
    </row>
    <row r="66" spans="2:13" ht="30" customHeight="1" x14ac:dyDescent="0.25">
      <c r="B66" s="11">
        <v>59</v>
      </c>
      <c r="C66" s="9" t="s">
        <v>188</v>
      </c>
      <c r="D66" s="9" t="s">
        <v>43</v>
      </c>
      <c r="E66" s="18">
        <v>25</v>
      </c>
      <c r="F66" s="18">
        <v>100</v>
      </c>
      <c r="H66" s="10"/>
      <c r="I66" s="10"/>
      <c r="L66" s="10"/>
      <c r="M66" s="10"/>
    </row>
    <row r="67" spans="2:13" ht="30" customHeight="1" x14ac:dyDescent="0.25">
      <c r="B67" s="11">
        <v>60</v>
      </c>
      <c r="C67" s="9" t="s">
        <v>189</v>
      </c>
      <c r="D67" s="9" t="s">
        <v>43</v>
      </c>
      <c r="E67" s="18">
        <v>25</v>
      </c>
      <c r="F67" s="18">
        <v>100</v>
      </c>
      <c r="H67" s="10"/>
      <c r="I67" s="10"/>
      <c r="L67" s="10"/>
      <c r="M67" s="10"/>
    </row>
    <row r="68" spans="2:13" ht="30" customHeight="1" x14ac:dyDescent="0.25">
      <c r="B68" s="11">
        <v>61</v>
      </c>
      <c r="C68" s="9" t="s">
        <v>190</v>
      </c>
      <c r="D68" s="9" t="s">
        <v>43</v>
      </c>
      <c r="E68" s="18">
        <v>25</v>
      </c>
      <c r="F68" s="18">
        <v>200</v>
      </c>
      <c r="H68" s="10"/>
      <c r="I68" s="10"/>
      <c r="L68" s="10"/>
      <c r="M68" s="10"/>
    </row>
    <row r="69" spans="2:13" ht="30" customHeight="1" x14ac:dyDescent="0.25">
      <c r="B69" s="11">
        <v>62</v>
      </c>
      <c r="C69" s="9" t="s">
        <v>166</v>
      </c>
      <c r="D69" s="9" t="s">
        <v>43</v>
      </c>
      <c r="E69" s="18">
        <v>50</v>
      </c>
      <c r="F69" s="18">
        <v>50</v>
      </c>
      <c r="H69" s="10"/>
      <c r="I69" s="10"/>
      <c r="L69" s="10"/>
      <c r="M69" s="10"/>
    </row>
    <row r="70" spans="2:13" ht="30" customHeight="1" x14ac:dyDescent="0.25">
      <c r="B70" s="11">
        <v>63</v>
      </c>
      <c r="C70" s="9" t="s">
        <v>212</v>
      </c>
      <c r="D70" s="9" t="s">
        <v>43</v>
      </c>
      <c r="E70" s="18">
        <v>50</v>
      </c>
      <c r="F70" s="18">
        <v>50</v>
      </c>
      <c r="H70" s="10"/>
      <c r="I70" s="10"/>
      <c r="L70" s="10"/>
      <c r="M70" s="10"/>
    </row>
    <row r="71" spans="2:13" ht="30" customHeight="1" x14ac:dyDescent="0.25">
      <c r="B71" s="11">
        <v>64</v>
      </c>
      <c r="C71" s="9" t="s">
        <v>222</v>
      </c>
      <c r="D71" s="9" t="s">
        <v>43</v>
      </c>
      <c r="E71" s="18">
        <v>50</v>
      </c>
      <c r="F71" s="18">
        <v>150</v>
      </c>
      <c r="H71" s="10"/>
      <c r="I71" s="10"/>
      <c r="L71" s="10"/>
      <c r="M71" s="10"/>
    </row>
    <row r="72" spans="2:13" ht="30" customHeight="1" x14ac:dyDescent="0.25">
      <c r="B72" s="11">
        <v>65</v>
      </c>
      <c r="C72" s="9" t="s">
        <v>215</v>
      </c>
      <c r="D72" s="9" t="s">
        <v>43</v>
      </c>
      <c r="E72" s="18">
        <v>50</v>
      </c>
      <c r="F72" s="18">
        <v>100</v>
      </c>
      <c r="H72" s="10"/>
      <c r="I72" s="10"/>
      <c r="L72" s="10"/>
      <c r="M72" s="10"/>
    </row>
    <row r="73" spans="2:13" ht="30" customHeight="1" x14ac:dyDescent="0.25">
      <c r="B73" s="11">
        <v>66</v>
      </c>
      <c r="C73" s="9" t="s">
        <v>216</v>
      </c>
      <c r="D73" s="9" t="s">
        <v>43</v>
      </c>
      <c r="E73" s="18">
        <v>50</v>
      </c>
      <c r="F73" s="18">
        <v>150</v>
      </c>
      <c r="H73" s="10"/>
      <c r="I73" s="10"/>
      <c r="L73" s="10"/>
      <c r="M73" s="10"/>
    </row>
    <row r="74" spans="2:13" ht="30" customHeight="1" x14ac:dyDescent="0.25">
      <c r="B74" s="11">
        <v>67</v>
      </c>
      <c r="C74" s="9" t="s">
        <v>220</v>
      </c>
      <c r="D74" s="9" t="s">
        <v>43</v>
      </c>
      <c r="E74" s="18">
        <v>50</v>
      </c>
      <c r="F74" s="18">
        <v>150</v>
      </c>
      <c r="H74" s="10"/>
      <c r="I74" s="10"/>
      <c r="L74" s="10"/>
      <c r="M74" s="10"/>
    </row>
    <row r="75" spans="2:13" ht="30" customHeight="1" x14ac:dyDescent="0.25">
      <c r="B75" s="11">
        <v>68</v>
      </c>
      <c r="C75" s="9" t="s">
        <v>217</v>
      </c>
      <c r="D75" s="9" t="s">
        <v>43</v>
      </c>
      <c r="E75" s="18">
        <v>50</v>
      </c>
      <c r="F75" s="18">
        <v>100</v>
      </c>
      <c r="H75" s="10"/>
      <c r="I75" s="10"/>
      <c r="L75" s="10"/>
      <c r="M75" s="10"/>
    </row>
    <row r="76" spans="2:13" ht="30" customHeight="1" x14ac:dyDescent="0.25">
      <c r="B76" s="11">
        <v>69</v>
      </c>
      <c r="C76" s="9" t="s">
        <v>219</v>
      </c>
      <c r="D76" s="9" t="s">
        <v>43</v>
      </c>
      <c r="E76" s="18">
        <v>50</v>
      </c>
      <c r="F76" s="18">
        <v>150</v>
      </c>
      <c r="H76" s="10"/>
      <c r="I76" s="10"/>
      <c r="L76" s="10"/>
      <c r="M76" s="10"/>
    </row>
    <row r="77" spans="2:13" ht="30" customHeight="1" x14ac:dyDescent="0.25">
      <c r="B77" s="11">
        <v>70</v>
      </c>
      <c r="C77" s="9" t="s">
        <v>218</v>
      </c>
      <c r="D77" s="9" t="s">
        <v>43</v>
      </c>
      <c r="E77" s="18">
        <v>50</v>
      </c>
      <c r="F77" s="18">
        <v>150</v>
      </c>
      <c r="H77" s="10"/>
      <c r="I77" s="10"/>
      <c r="L77" s="10"/>
      <c r="M77" s="10"/>
    </row>
    <row r="78" spans="2:13" ht="30" customHeight="1" x14ac:dyDescent="0.25">
      <c r="B78" s="11">
        <v>71</v>
      </c>
      <c r="C78" s="9" t="s">
        <v>163</v>
      </c>
      <c r="D78" s="9" t="s">
        <v>43</v>
      </c>
      <c r="E78" s="18">
        <v>50</v>
      </c>
      <c r="F78" s="18">
        <v>100</v>
      </c>
      <c r="H78" s="10"/>
      <c r="I78" s="10"/>
      <c r="L78" s="10"/>
      <c r="M78" s="10"/>
    </row>
    <row r="79" spans="2:13" ht="30" customHeight="1" x14ac:dyDescent="0.25">
      <c r="B79" s="11">
        <v>72</v>
      </c>
      <c r="C79" s="9" t="s">
        <v>167</v>
      </c>
      <c r="D79" s="9" t="s">
        <v>43</v>
      </c>
      <c r="E79" s="18">
        <v>50</v>
      </c>
      <c r="F79" s="18">
        <v>100</v>
      </c>
      <c r="H79" s="10"/>
      <c r="I79" s="10"/>
      <c r="L79" s="10"/>
      <c r="M79" s="10"/>
    </row>
    <row r="80" spans="2:13" ht="30" customHeight="1" x14ac:dyDescent="0.25">
      <c r="B80" s="11">
        <v>73</v>
      </c>
      <c r="C80" s="9" t="s">
        <v>221</v>
      </c>
      <c r="D80" s="9" t="s">
        <v>43</v>
      </c>
      <c r="E80" s="18">
        <v>50</v>
      </c>
      <c r="F80" s="18">
        <v>150</v>
      </c>
      <c r="H80" s="10"/>
      <c r="I80" s="10"/>
      <c r="L80" s="10"/>
      <c r="M80" s="10"/>
    </row>
    <row r="81" spans="2:13" ht="30" customHeight="1" x14ac:dyDescent="0.25">
      <c r="B81" s="11">
        <v>74</v>
      </c>
      <c r="C81" s="9" t="s">
        <v>213</v>
      </c>
      <c r="D81" s="9" t="s">
        <v>43</v>
      </c>
      <c r="E81" s="18">
        <v>50</v>
      </c>
      <c r="F81" s="18">
        <v>50</v>
      </c>
      <c r="H81" s="10"/>
      <c r="I81" s="10"/>
      <c r="L81" s="10"/>
      <c r="M81" s="10"/>
    </row>
    <row r="82" spans="2:13" ht="30" customHeight="1" x14ac:dyDescent="0.25">
      <c r="B82" s="11">
        <v>75</v>
      </c>
      <c r="C82" s="9" t="s">
        <v>223</v>
      </c>
      <c r="D82" s="9" t="s">
        <v>43</v>
      </c>
      <c r="E82" s="18">
        <v>50</v>
      </c>
      <c r="F82" s="18">
        <v>150</v>
      </c>
      <c r="H82" s="10"/>
      <c r="I82" s="10"/>
      <c r="L82" s="10"/>
      <c r="M82" s="10"/>
    </row>
    <row r="83" spans="2:13" ht="30" customHeight="1" x14ac:dyDescent="0.25">
      <c r="B83" s="11">
        <v>76</v>
      </c>
      <c r="C83" s="9" t="s">
        <v>224</v>
      </c>
      <c r="D83" s="9" t="s">
        <v>43</v>
      </c>
      <c r="E83" s="18">
        <v>50</v>
      </c>
      <c r="F83" s="18">
        <v>150</v>
      </c>
      <c r="H83" s="10"/>
      <c r="I83" s="10"/>
      <c r="L83" s="10"/>
      <c r="M83" s="10"/>
    </row>
    <row r="84" spans="2:13" ht="30" customHeight="1" x14ac:dyDescent="0.25">
      <c r="B84" s="11">
        <v>77</v>
      </c>
      <c r="C84" s="9" t="s">
        <v>225</v>
      </c>
      <c r="D84" s="9" t="s">
        <v>43</v>
      </c>
      <c r="E84" s="18">
        <v>50</v>
      </c>
      <c r="F84" s="18">
        <v>250</v>
      </c>
      <c r="H84" s="10"/>
      <c r="I84" s="10"/>
      <c r="L84" s="10"/>
      <c r="M84" s="10"/>
    </row>
    <row r="85" spans="2:13" ht="30" customHeight="1" x14ac:dyDescent="0.25">
      <c r="B85" s="11">
        <v>78</v>
      </c>
      <c r="C85" s="9" t="s">
        <v>226</v>
      </c>
      <c r="D85" s="9" t="s">
        <v>43</v>
      </c>
      <c r="E85" s="18">
        <v>50</v>
      </c>
      <c r="F85" s="18">
        <v>250</v>
      </c>
      <c r="H85" s="10"/>
      <c r="I85" s="10"/>
      <c r="L85" s="10"/>
      <c r="M85" s="10"/>
    </row>
    <row r="86" spans="2:13" ht="30" customHeight="1" x14ac:dyDescent="0.25">
      <c r="B86" s="11">
        <v>79</v>
      </c>
      <c r="C86" s="9" t="s">
        <v>227</v>
      </c>
      <c r="D86" s="9" t="s">
        <v>43</v>
      </c>
      <c r="E86" s="18">
        <v>50</v>
      </c>
      <c r="F86" s="18">
        <v>250</v>
      </c>
      <c r="H86" s="10"/>
      <c r="I86" s="10"/>
      <c r="L86" s="10"/>
      <c r="M86" s="10"/>
    </row>
    <row r="87" spans="2:13" ht="30" customHeight="1" x14ac:dyDescent="0.25">
      <c r="B87" s="11">
        <v>80</v>
      </c>
      <c r="C87" s="9" t="s">
        <v>229</v>
      </c>
      <c r="D87" s="9" t="s">
        <v>43</v>
      </c>
      <c r="E87" s="18">
        <v>50</v>
      </c>
      <c r="F87" s="18">
        <v>250</v>
      </c>
      <c r="H87" s="10"/>
      <c r="I87" s="10"/>
      <c r="L87" s="10"/>
      <c r="M87" s="10"/>
    </row>
    <row r="88" spans="2:13" ht="30" customHeight="1" x14ac:dyDescent="0.25">
      <c r="B88" s="11">
        <v>81</v>
      </c>
      <c r="C88" s="9" t="s">
        <v>228</v>
      </c>
      <c r="D88" s="9" t="s">
        <v>43</v>
      </c>
      <c r="E88" s="18">
        <v>50</v>
      </c>
      <c r="F88" s="18">
        <v>250</v>
      </c>
      <c r="H88" s="10"/>
      <c r="I88" s="10"/>
      <c r="L88" s="10"/>
      <c r="M88" s="10"/>
    </row>
    <row r="89" spans="2:13" ht="30" customHeight="1" x14ac:dyDescent="0.25">
      <c r="B89" s="11">
        <v>82</v>
      </c>
      <c r="C89" s="9" t="s">
        <v>230</v>
      </c>
      <c r="D89" s="9" t="s">
        <v>43</v>
      </c>
      <c r="E89" s="18">
        <v>50</v>
      </c>
      <c r="F89" s="18">
        <v>200</v>
      </c>
      <c r="H89" s="10"/>
      <c r="I89" s="10"/>
      <c r="L89" s="10"/>
      <c r="M89" s="10"/>
    </row>
    <row r="90" spans="2:13" ht="30" customHeight="1" x14ac:dyDescent="0.25">
      <c r="B90" s="11">
        <v>83</v>
      </c>
      <c r="C90" s="9" t="s">
        <v>231</v>
      </c>
      <c r="D90" s="9" t="s">
        <v>43</v>
      </c>
      <c r="E90" s="18">
        <v>50</v>
      </c>
      <c r="F90" s="18">
        <v>600</v>
      </c>
      <c r="H90" s="10"/>
      <c r="I90" s="10"/>
      <c r="L90" s="10"/>
      <c r="M90" s="10"/>
    </row>
    <row r="91" spans="2:13" ht="30" customHeight="1" x14ac:dyDescent="0.25">
      <c r="B91" s="11">
        <v>84</v>
      </c>
      <c r="C91" s="9" t="s">
        <v>232</v>
      </c>
      <c r="D91" s="9" t="s">
        <v>43</v>
      </c>
      <c r="E91" s="18">
        <v>50</v>
      </c>
      <c r="F91" s="18">
        <v>200</v>
      </c>
      <c r="H91" s="10"/>
      <c r="I91" s="10"/>
      <c r="L91" s="10"/>
      <c r="M91" s="10"/>
    </row>
    <row r="92" spans="2:13" ht="30" customHeight="1" x14ac:dyDescent="0.25">
      <c r="B92" s="11">
        <v>85</v>
      </c>
      <c r="C92" s="9" t="s">
        <v>233</v>
      </c>
      <c r="D92" s="9" t="s">
        <v>43</v>
      </c>
      <c r="E92" s="18">
        <v>50</v>
      </c>
      <c r="F92" s="18">
        <v>400</v>
      </c>
      <c r="H92" s="10"/>
      <c r="I92" s="10"/>
      <c r="L92" s="10"/>
      <c r="M92" s="10"/>
    </row>
    <row r="93" spans="2:13" ht="30" customHeight="1" x14ac:dyDescent="0.25">
      <c r="B93" s="11">
        <v>86</v>
      </c>
      <c r="C93" s="9" t="s">
        <v>234</v>
      </c>
      <c r="D93" s="9" t="s">
        <v>43</v>
      </c>
      <c r="E93" s="18">
        <v>50</v>
      </c>
      <c r="F93" s="18">
        <v>200</v>
      </c>
      <c r="H93" s="10"/>
      <c r="I93" s="10"/>
      <c r="L93" s="10"/>
      <c r="M93" s="10"/>
    </row>
    <row r="94" spans="2:13" ht="30" customHeight="1" x14ac:dyDescent="0.25">
      <c r="B94" s="11">
        <v>87</v>
      </c>
      <c r="C94" s="9" t="s">
        <v>153</v>
      </c>
      <c r="D94" s="9" t="s">
        <v>43</v>
      </c>
      <c r="E94" s="18">
        <v>100</v>
      </c>
      <c r="F94" s="18">
        <v>50</v>
      </c>
      <c r="H94" s="10"/>
      <c r="I94" s="10"/>
      <c r="L94" s="10"/>
      <c r="M94" s="10"/>
    </row>
    <row r="95" spans="2:13" ht="30" customHeight="1" x14ac:dyDescent="0.25">
      <c r="B95" s="11">
        <v>88</v>
      </c>
      <c r="C95" s="9" t="s">
        <v>239</v>
      </c>
      <c r="D95" s="9" t="s">
        <v>43</v>
      </c>
      <c r="E95" s="18">
        <v>100</v>
      </c>
      <c r="F95" s="18">
        <v>50</v>
      </c>
      <c r="H95" s="10"/>
      <c r="I95" s="10"/>
      <c r="L95" s="10"/>
      <c r="M95" s="10"/>
    </row>
    <row r="96" spans="2:13" ht="30" customHeight="1" x14ac:dyDescent="0.25">
      <c r="B96" s="11">
        <v>89</v>
      </c>
      <c r="C96" s="9" t="s">
        <v>240</v>
      </c>
      <c r="D96" s="9" t="s">
        <v>43</v>
      </c>
      <c r="E96" s="18">
        <v>100</v>
      </c>
      <c r="F96" s="18">
        <v>50</v>
      </c>
      <c r="H96" s="10"/>
      <c r="I96" s="10"/>
      <c r="L96" s="10"/>
      <c r="M96" s="10"/>
    </row>
    <row r="97" spans="2:13" ht="30" customHeight="1" x14ac:dyDescent="0.25">
      <c r="B97" s="11">
        <v>90</v>
      </c>
      <c r="C97" s="9" t="s">
        <v>241</v>
      </c>
      <c r="D97" s="9" t="s">
        <v>43</v>
      </c>
      <c r="E97" s="18">
        <v>100</v>
      </c>
      <c r="F97" s="18">
        <v>50</v>
      </c>
      <c r="H97" s="10"/>
      <c r="I97" s="10"/>
      <c r="L97" s="10"/>
      <c r="M97" s="10"/>
    </row>
    <row r="98" spans="2:13" ht="30" customHeight="1" x14ac:dyDescent="0.25">
      <c r="B98" s="11">
        <v>91</v>
      </c>
      <c r="C98" s="9" t="s">
        <v>242</v>
      </c>
      <c r="D98" s="9" t="s">
        <v>43</v>
      </c>
      <c r="E98" s="18">
        <v>100</v>
      </c>
      <c r="F98" s="18">
        <v>50</v>
      </c>
      <c r="H98" s="10"/>
      <c r="I98" s="10"/>
      <c r="L98" s="10"/>
      <c r="M98" s="10"/>
    </row>
    <row r="99" spans="2:13" ht="30" customHeight="1" x14ac:dyDescent="0.25">
      <c r="B99" s="11">
        <v>92</v>
      </c>
      <c r="C99" s="9" t="s">
        <v>243</v>
      </c>
      <c r="D99" s="9" t="s">
        <v>43</v>
      </c>
      <c r="E99" s="18">
        <v>100</v>
      </c>
      <c r="F99" s="18">
        <v>200</v>
      </c>
      <c r="H99" s="10"/>
      <c r="I99" s="10"/>
      <c r="L99" s="10"/>
      <c r="M99" s="10"/>
    </row>
    <row r="100" spans="2:13" ht="30" customHeight="1" x14ac:dyDescent="0.25">
      <c r="B100" s="11">
        <v>93</v>
      </c>
      <c r="C100" s="9" t="s">
        <v>244</v>
      </c>
      <c r="D100" s="9" t="s">
        <v>43</v>
      </c>
      <c r="E100" s="18">
        <v>100</v>
      </c>
      <c r="F100" s="18">
        <v>250</v>
      </c>
      <c r="H100" s="10"/>
      <c r="I100" s="10"/>
      <c r="L100" s="10"/>
      <c r="M100" s="10"/>
    </row>
    <row r="101" spans="2:13" ht="30" customHeight="1" x14ac:dyDescent="0.25">
      <c r="B101" s="11">
        <v>94</v>
      </c>
      <c r="C101" s="9" t="s">
        <v>245</v>
      </c>
      <c r="D101" s="9" t="s">
        <v>43</v>
      </c>
      <c r="E101" s="18">
        <v>100</v>
      </c>
      <c r="F101" s="18">
        <v>150</v>
      </c>
      <c r="H101" s="10"/>
      <c r="I101" s="10"/>
      <c r="L101" s="10"/>
      <c r="M101" s="10"/>
    </row>
    <row r="102" spans="2:13" ht="30" customHeight="1" x14ac:dyDescent="0.25">
      <c r="B102" s="11">
        <v>95</v>
      </c>
      <c r="C102" s="9" t="s">
        <v>246</v>
      </c>
      <c r="D102" s="9" t="s">
        <v>43</v>
      </c>
      <c r="E102" s="18">
        <v>100</v>
      </c>
      <c r="F102" s="18">
        <v>200</v>
      </c>
      <c r="H102" s="10"/>
      <c r="I102" s="10"/>
      <c r="L102" s="10"/>
      <c r="M102" s="10"/>
    </row>
    <row r="103" spans="2:13" ht="30" customHeight="1" x14ac:dyDescent="0.25">
      <c r="B103" s="11">
        <v>96</v>
      </c>
      <c r="C103" s="9" t="s">
        <v>247</v>
      </c>
      <c r="D103" s="9" t="s">
        <v>43</v>
      </c>
      <c r="E103" s="18">
        <v>100</v>
      </c>
      <c r="F103" s="18">
        <v>250</v>
      </c>
      <c r="H103" s="10"/>
      <c r="I103" s="10"/>
      <c r="L103" s="10"/>
      <c r="M103" s="10"/>
    </row>
    <row r="104" spans="2:13" ht="30" customHeight="1" x14ac:dyDescent="0.25">
      <c r="B104" s="11">
        <v>97</v>
      </c>
      <c r="C104" s="9" t="s">
        <v>248</v>
      </c>
      <c r="D104" s="9" t="s">
        <v>43</v>
      </c>
      <c r="E104" s="18">
        <v>100</v>
      </c>
      <c r="F104" s="18">
        <v>300</v>
      </c>
      <c r="H104" s="10"/>
      <c r="I104" s="10"/>
      <c r="L104" s="10"/>
      <c r="M104" s="10"/>
    </row>
    <row r="105" spans="2:13" ht="30" customHeight="1" x14ac:dyDescent="0.25">
      <c r="B105" s="11">
        <v>98</v>
      </c>
      <c r="C105" s="9" t="s">
        <v>249</v>
      </c>
      <c r="D105" s="9" t="s">
        <v>43</v>
      </c>
      <c r="E105" s="18">
        <v>100</v>
      </c>
      <c r="F105" s="18">
        <v>100</v>
      </c>
      <c r="H105" s="10"/>
      <c r="I105" s="10"/>
      <c r="L105" s="10"/>
      <c r="M105" s="10"/>
    </row>
    <row r="106" spans="2:13" ht="30" customHeight="1" x14ac:dyDescent="0.25">
      <c r="B106" s="11">
        <v>99</v>
      </c>
      <c r="C106" s="9" t="s">
        <v>250</v>
      </c>
      <c r="D106" s="9" t="s">
        <v>43</v>
      </c>
      <c r="E106" s="18">
        <v>100</v>
      </c>
      <c r="F106" s="18">
        <v>50</v>
      </c>
      <c r="H106" s="10"/>
      <c r="I106" s="10"/>
      <c r="L106" s="10"/>
      <c r="M106" s="10"/>
    </row>
    <row r="107" spans="2:13" ht="30" customHeight="1" x14ac:dyDescent="0.25">
      <c r="B107" s="11">
        <v>100</v>
      </c>
      <c r="C107" s="9" t="s">
        <v>251</v>
      </c>
      <c r="D107" s="9" t="s">
        <v>43</v>
      </c>
      <c r="E107" s="18">
        <v>100</v>
      </c>
      <c r="F107" s="18">
        <v>200</v>
      </c>
      <c r="H107" s="10"/>
      <c r="I107" s="10"/>
      <c r="L107" s="10"/>
      <c r="M107" s="10"/>
    </row>
    <row r="108" spans="2:13" ht="30" customHeight="1" x14ac:dyDescent="0.25">
      <c r="B108" s="11">
        <v>101</v>
      </c>
      <c r="C108" s="9" t="s">
        <v>252</v>
      </c>
      <c r="D108" s="9" t="s">
        <v>43</v>
      </c>
      <c r="E108" s="18">
        <v>100</v>
      </c>
      <c r="F108" s="18">
        <v>100</v>
      </c>
      <c r="H108" s="10"/>
      <c r="I108" s="10"/>
      <c r="L108" s="10"/>
      <c r="M108" s="10"/>
    </row>
    <row r="109" spans="2:13" ht="30" customHeight="1" x14ac:dyDescent="0.25">
      <c r="B109" s="11">
        <v>102</v>
      </c>
      <c r="C109" s="9" t="s">
        <v>253</v>
      </c>
      <c r="D109" s="9" t="s">
        <v>43</v>
      </c>
      <c r="E109" s="18">
        <v>100</v>
      </c>
      <c r="F109" s="18">
        <v>300</v>
      </c>
      <c r="H109" s="10"/>
      <c r="I109" s="10"/>
      <c r="L109" s="10"/>
      <c r="M109" s="10"/>
    </row>
    <row r="110" spans="2:13" ht="30" customHeight="1" x14ac:dyDescent="0.25">
      <c r="B110" s="11">
        <v>103</v>
      </c>
      <c r="C110" s="9" t="s">
        <v>254</v>
      </c>
      <c r="D110" s="9" t="s">
        <v>43</v>
      </c>
      <c r="E110" s="18">
        <v>100</v>
      </c>
      <c r="F110" s="18">
        <v>100</v>
      </c>
      <c r="H110" s="10"/>
      <c r="I110" s="10"/>
      <c r="L110" s="10"/>
      <c r="M110" s="10"/>
    </row>
    <row r="111" spans="2:13" ht="30" customHeight="1" x14ac:dyDescent="0.25">
      <c r="B111" s="11">
        <v>104</v>
      </c>
      <c r="C111" s="9" t="s">
        <v>255</v>
      </c>
      <c r="D111" s="9" t="s">
        <v>43</v>
      </c>
      <c r="E111" s="18">
        <v>100</v>
      </c>
      <c r="F111" s="18">
        <v>500</v>
      </c>
      <c r="H111" s="10"/>
      <c r="I111" s="10"/>
      <c r="L111" s="10"/>
      <c r="M111" s="10"/>
    </row>
    <row r="112" spans="2:13" ht="30" customHeight="1" x14ac:dyDescent="0.25">
      <c r="B112" s="11">
        <v>105</v>
      </c>
      <c r="C112" s="9" t="s">
        <v>256</v>
      </c>
      <c r="D112" s="9" t="s">
        <v>43</v>
      </c>
      <c r="E112" s="18">
        <v>100</v>
      </c>
      <c r="F112" s="18">
        <v>500</v>
      </c>
      <c r="H112" s="10"/>
      <c r="I112" s="10"/>
      <c r="L112" s="10"/>
      <c r="M112" s="10"/>
    </row>
    <row r="113" spans="2:13" ht="30" customHeight="1" x14ac:dyDescent="0.25">
      <c r="B113" s="11">
        <v>106</v>
      </c>
      <c r="C113" s="9" t="s">
        <v>257</v>
      </c>
      <c r="D113" s="9" t="s">
        <v>43</v>
      </c>
      <c r="E113" s="18">
        <v>100</v>
      </c>
      <c r="F113" s="18">
        <v>500</v>
      </c>
      <c r="H113" s="10"/>
      <c r="I113" s="10"/>
      <c r="L113" s="10"/>
      <c r="M113" s="10"/>
    </row>
    <row r="114" spans="2:13" ht="30" customHeight="1" x14ac:dyDescent="0.25">
      <c r="B114" s="11">
        <v>107</v>
      </c>
      <c r="C114" s="9" t="s">
        <v>258</v>
      </c>
      <c r="D114" s="9" t="s">
        <v>43</v>
      </c>
      <c r="E114" s="18">
        <v>100</v>
      </c>
      <c r="F114" s="18">
        <v>200</v>
      </c>
      <c r="H114" s="10"/>
      <c r="I114" s="10"/>
      <c r="L114" s="10"/>
      <c r="M114" s="10"/>
    </row>
    <row r="115" spans="2:13" ht="30" customHeight="1" x14ac:dyDescent="0.25">
      <c r="B115" s="11">
        <v>108</v>
      </c>
      <c r="C115" s="9" t="s">
        <v>259</v>
      </c>
      <c r="D115" s="9" t="s">
        <v>43</v>
      </c>
      <c r="E115" s="18">
        <v>100</v>
      </c>
      <c r="F115" s="18">
        <v>400</v>
      </c>
      <c r="H115" s="10"/>
      <c r="I115" s="10"/>
      <c r="L115" s="10"/>
      <c r="M115" s="10"/>
    </row>
    <row r="116" spans="2:13" ht="30" customHeight="1" x14ac:dyDescent="0.25">
      <c r="B116" s="11">
        <v>109</v>
      </c>
      <c r="C116" s="9" t="s">
        <v>260</v>
      </c>
      <c r="D116" s="9" t="s">
        <v>43</v>
      </c>
      <c r="E116" s="18">
        <v>100</v>
      </c>
      <c r="F116" s="18">
        <v>500</v>
      </c>
      <c r="H116" s="10"/>
      <c r="I116" s="10"/>
      <c r="L116" s="10"/>
      <c r="M116" s="10"/>
    </row>
    <row r="117" spans="2:13" ht="30" customHeight="1" x14ac:dyDescent="0.25">
      <c r="B117" s="11">
        <v>110</v>
      </c>
      <c r="C117" s="9" t="s">
        <v>261</v>
      </c>
      <c r="D117" s="9" t="s">
        <v>43</v>
      </c>
      <c r="E117" s="18">
        <v>100</v>
      </c>
      <c r="F117" s="18">
        <v>500</v>
      </c>
      <c r="H117" s="10"/>
      <c r="I117" s="10"/>
      <c r="L117" s="10"/>
      <c r="M117" s="10"/>
    </row>
    <row r="118" spans="2:13" ht="30" customHeight="1" x14ac:dyDescent="0.25">
      <c r="B118" s="11">
        <v>111</v>
      </c>
      <c r="C118" s="9" t="s">
        <v>262</v>
      </c>
      <c r="D118" s="9" t="s">
        <v>43</v>
      </c>
      <c r="E118" s="18">
        <v>100</v>
      </c>
      <c r="F118" s="18">
        <v>150</v>
      </c>
      <c r="H118" s="10"/>
      <c r="I118" s="10"/>
      <c r="L118" s="10"/>
      <c r="M118" s="10"/>
    </row>
    <row r="119" spans="2:13" ht="30" customHeight="1" x14ac:dyDescent="0.25">
      <c r="B119" s="11">
        <v>112</v>
      </c>
      <c r="C119" s="9" t="s">
        <v>263</v>
      </c>
      <c r="D119" s="9" t="s">
        <v>43</v>
      </c>
      <c r="E119" s="18">
        <v>100</v>
      </c>
      <c r="F119" s="18">
        <v>100</v>
      </c>
      <c r="H119" s="10"/>
      <c r="I119" s="10"/>
      <c r="L119" s="10"/>
      <c r="M119" s="10"/>
    </row>
    <row r="120" spans="2:13" ht="30" customHeight="1" x14ac:dyDescent="0.25">
      <c r="B120" s="11">
        <v>113</v>
      </c>
      <c r="C120" s="9" t="s">
        <v>264</v>
      </c>
      <c r="D120" s="9" t="s">
        <v>43</v>
      </c>
      <c r="E120" s="18">
        <v>100</v>
      </c>
      <c r="F120" s="18">
        <v>100</v>
      </c>
      <c r="H120" s="10"/>
      <c r="I120" s="10"/>
      <c r="L120" s="10"/>
      <c r="M120" s="10"/>
    </row>
    <row r="121" spans="2:13" ht="30" customHeight="1" x14ac:dyDescent="0.25">
      <c r="B121" s="11">
        <v>114</v>
      </c>
      <c r="C121" s="9" t="s">
        <v>265</v>
      </c>
      <c r="D121" s="9" t="s">
        <v>43</v>
      </c>
      <c r="E121" s="18">
        <v>100</v>
      </c>
      <c r="F121" s="18">
        <v>300</v>
      </c>
      <c r="H121" s="10"/>
      <c r="I121" s="10"/>
      <c r="L121" s="10"/>
      <c r="M121" s="10"/>
    </row>
    <row r="122" spans="2:13" ht="30" customHeight="1" x14ac:dyDescent="0.25">
      <c r="B122" s="11">
        <v>115</v>
      </c>
      <c r="C122" s="9" t="s">
        <v>266</v>
      </c>
      <c r="D122" s="9" t="s">
        <v>43</v>
      </c>
      <c r="E122" s="18">
        <v>100</v>
      </c>
      <c r="F122" s="18">
        <v>100</v>
      </c>
      <c r="H122" s="10"/>
      <c r="I122" s="10"/>
      <c r="L122" s="10"/>
      <c r="M122" s="10"/>
    </row>
    <row r="123" spans="2:13" ht="30" customHeight="1" x14ac:dyDescent="0.25">
      <c r="B123" s="11">
        <v>116</v>
      </c>
      <c r="C123" s="9" t="s">
        <v>301</v>
      </c>
      <c r="D123" s="9" t="s">
        <v>43</v>
      </c>
      <c r="E123" s="18">
        <v>250</v>
      </c>
      <c r="F123" s="18">
        <v>200</v>
      </c>
      <c r="H123" s="10"/>
      <c r="I123" s="10"/>
      <c r="L123" s="10"/>
      <c r="M123" s="10"/>
    </row>
    <row r="124" spans="2:13" ht="30" customHeight="1" x14ac:dyDescent="0.25">
      <c r="B124" s="11">
        <v>117</v>
      </c>
      <c r="C124" s="9" t="s">
        <v>172</v>
      </c>
      <c r="D124" s="9" t="s">
        <v>43</v>
      </c>
      <c r="E124" s="18">
        <v>250</v>
      </c>
      <c r="F124" s="18">
        <v>300</v>
      </c>
      <c r="H124" s="10"/>
      <c r="I124" s="10"/>
      <c r="L124" s="10"/>
      <c r="M124" s="10"/>
    </row>
    <row r="125" spans="2:13" ht="30" customHeight="1" x14ac:dyDescent="0.25">
      <c r="B125" s="11">
        <v>118</v>
      </c>
      <c r="C125" s="9" t="s">
        <v>302</v>
      </c>
      <c r="D125" s="9" t="s">
        <v>43</v>
      </c>
      <c r="E125" s="18">
        <v>250</v>
      </c>
      <c r="F125" s="18">
        <v>300</v>
      </c>
      <c r="H125" s="10"/>
      <c r="I125" s="10"/>
      <c r="L125" s="10"/>
      <c r="M125" s="10"/>
    </row>
    <row r="126" spans="2:13" ht="30" customHeight="1" x14ac:dyDescent="0.25">
      <c r="B126" s="11">
        <v>119</v>
      </c>
      <c r="C126" s="9" t="s">
        <v>303</v>
      </c>
      <c r="D126" s="9" t="s">
        <v>43</v>
      </c>
      <c r="E126" s="18">
        <v>250</v>
      </c>
      <c r="F126" s="18">
        <v>300</v>
      </c>
      <c r="H126" s="10"/>
      <c r="I126" s="10"/>
      <c r="L126" s="10"/>
      <c r="M126" s="10"/>
    </row>
    <row r="127" spans="2:13" ht="30" customHeight="1" x14ac:dyDescent="0.25">
      <c r="B127" s="11">
        <v>120</v>
      </c>
      <c r="C127" s="9" t="s">
        <v>304</v>
      </c>
      <c r="D127" s="9" t="s">
        <v>43</v>
      </c>
      <c r="E127" s="18">
        <v>250</v>
      </c>
      <c r="F127" s="18">
        <v>300</v>
      </c>
      <c r="H127" s="10"/>
      <c r="I127" s="10"/>
      <c r="L127" s="10"/>
      <c r="M127" s="10"/>
    </row>
    <row r="128" spans="2:13" ht="30" customHeight="1" x14ac:dyDescent="0.25">
      <c r="B128" s="11">
        <v>121</v>
      </c>
      <c r="C128" s="9" t="s">
        <v>340</v>
      </c>
      <c r="D128" s="9" t="s">
        <v>43</v>
      </c>
      <c r="E128" s="18">
        <v>250</v>
      </c>
      <c r="F128" s="18">
        <v>300</v>
      </c>
      <c r="H128" s="10"/>
      <c r="I128" s="10"/>
      <c r="L128" s="10"/>
      <c r="M128" s="10"/>
    </row>
    <row r="129" spans="2:13" ht="30" customHeight="1" x14ac:dyDescent="0.25">
      <c r="B129" s="11">
        <v>122</v>
      </c>
      <c r="C129" s="9" t="s">
        <v>294</v>
      </c>
      <c r="D129" s="9" t="s">
        <v>43</v>
      </c>
      <c r="E129" s="18">
        <v>250</v>
      </c>
      <c r="F129" s="18">
        <v>300</v>
      </c>
      <c r="H129" s="10"/>
      <c r="I129" s="10"/>
      <c r="L129" s="10"/>
      <c r="M129" s="10"/>
    </row>
    <row r="130" spans="2:13" ht="30" customHeight="1" x14ac:dyDescent="0.25">
      <c r="B130" s="11">
        <v>123</v>
      </c>
      <c r="C130" s="9" t="s">
        <v>170</v>
      </c>
      <c r="D130" s="9" t="s">
        <v>43</v>
      </c>
      <c r="E130" s="18">
        <v>250</v>
      </c>
      <c r="F130" s="18">
        <v>300</v>
      </c>
      <c r="H130" s="10"/>
      <c r="I130" s="10"/>
      <c r="L130" s="10"/>
      <c r="M130" s="10"/>
    </row>
    <row r="131" spans="2:13" ht="30" customHeight="1" x14ac:dyDescent="0.25">
      <c r="B131" s="11">
        <v>124</v>
      </c>
      <c r="C131" s="9" t="s">
        <v>295</v>
      </c>
      <c r="D131" s="9" t="s">
        <v>43</v>
      </c>
      <c r="E131" s="18">
        <v>250</v>
      </c>
      <c r="F131" s="18">
        <v>100</v>
      </c>
      <c r="H131" s="10"/>
      <c r="I131" s="10"/>
      <c r="L131" s="10"/>
      <c r="M131" s="10"/>
    </row>
    <row r="132" spans="2:13" ht="30" customHeight="1" x14ac:dyDescent="0.25">
      <c r="B132" s="11">
        <v>125</v>
      </c>
      <c r="C132" s="9" t="s">
        <v>296</v>
      </c>
      <c r="D132" s="9" t="s">
        <v>43</v>
      </c>
      <c r="E132" s="18">
        <v>250</v>
      </c>
      <c r="F132" s="18">
        <v>100</v>
      </c>
      <c r="H132" s="10"/>
      <c r="I132" s="10"/>
      <c r="L132" s="10"/>
      <c r="M132" s="10"/>
    </row>
    <row r="133" spans="2:13" ht="30" customHeight="1" x14ac:dyDescent="0.25">
      <c r="B133" s="11">
        <v>126</v>
      </c>
      <c r="C133" s="9" t="s">
        <v>297</v>
      </c>
      <c r="D133" s="9" t="s">
        <v>43</v>
      </c>
      <c r="E133" s="18">
        <v>250</v>
      </c>
      <c r="F133" s="18">
        <v>100</v>
      </c>
      <c r="H133" s="10"/>
      <c r="I133" s="10"/>
      <c r="L133" s="10"/>
      <c r="M133" s="10"/>
    </row>
    <row r="134" spans="2:13" ht="30" customHeight="1" x14ac:dyDescent="0.25">
      <c r="B134" s="11">
        <v>127</v>
      </c>
      <c r="C134" s="9" t="s">
        <v>298</v>
      </c>
      <c r="D134" s="9" t="s">
        <v>43</v>
      </c>
      <c r="E134" s="18">
        <v>250</v>
      </c>
      <c r="F134" s="18">
        <v>100</v>
      </c>
      <c r="H134" s="10"/>
      <c r="I134" s="10"/>
      <c r="L134" s="10"/>
      <c r="M134" s="10"/>
    </row>
    <row r="135" spans="2:13" ht="30" customHeight="1" x14ac:dyDescent="0.25">
      <c r="B135" s="11">
        <v>128</v>
      </c>
      <c r="C135" s="9" t="s">
        <v>299</v>
      </c>
      <c r="D135" s="9" t="s">
        <v>43</v>
      </c>
      <c r="E135" s="18">
        <v>250</v>
      </c>
      <c r="F135" s="18">
        <v>100</v>
      </c>
      <c r="H135" s="10"/>
      <c r="I135" s="10"/>
      <c r="L135" s="10"/>
      <c r="M135" s="10"/>
    </row>
    <row r="136" spans="2:13" ht="30" customHeight="1" x14ac:dyDescent="0.25">
      <c r="B136" s="11">
        <v>129</v>
      </c>
      <c r="C136" s="9" t="s">
        <v>300</v>
      </c>
      <c r="D136" s="9" t="s">
        <v>43</v>
      </c>
      <c r="E136" s="18">
        <v>250</v>
      </c>
      <c r="F136" s="18">
        <v>100</v>
      </c>
      <c r="H136" s="10"/>
      <c r="I136" s="10"/>
      <c r="L136" s="10"/>
      <c r="M136" s="10"/>
    </row>
    <row r="137" spans="2:13" ht="30" customHeight="1" x14ac:dyDescent="0.25">
      <c r="B137" s="11">
        <v>130</v>
      </c>
      <c r="C137" s="9" t="s">
        <v>269</v>
      </c>
      <c r="D137" s="9" t="s">
        <v>43</v>
      </c>
      <c r="E137" s="18">
        <v>500</v>
      </c>
      <c r="F137" s="18">
        <v>200</v>
      </c>
      <c r="H137" s="10"/>
      <c r="I137" s="10"/>
      <c r="L137" s="10"/>
      <c r="M137" s="10"/>
    </row>
    <row r="138" spans="2:13" ht="30" customHeight="1" x14ac:dyDescent="0.25">
      <c r="B138" s="11">
        <v>131</v>
      </c>
      <c r="C138" s="9" t="s">
        <v>270</v>
      </c>
      <c r="D138" s="9" t="s">
        <v>43</v>
      </c>
      <c r="E138" s="18">
        <v>500</v>
      </c>
      <c r="F138" s="18">
        <v>250</v>
      </c>
      <c r="H138" s="10"/>
      <c r="I138" s="10"/>
      <c r="L138" s="10"/>
      <c r="M138" s="10"/>
    </row>
    <row r="139" spans="2:13" ht="30" customHeight="1" x14ac:dyDescent="0.25">
      <c r="B139" s="11">
        <v>132</v>
      </c>
      <c r="C139" s="9" t="s">
        <v>271</v>
      </c>
      <c r="D139" s="9" t="s">
        <v>43</v>
      </c>
      <c r="E139" s="18">
        <v>500</v>
      </c>
      <c r="F139" s="18">
        <v>350</v>
      </c>
      <c r="H139" s="10"/>
      <c r="I139" s="10"/>
      <c r="L139" s="10"/>
      <c r="M139" s="10"/>
    </row>
    <row r="140" spans="2:13" ht="30" customHeight="1" x14ac:dyDescent="0.25">
      <c r="B140" s="11">
        <v>133</v>
      </c>
      <c r="C140" s="9" t="s">
        <v>276</v>
      </c>
      <c r="D140" s="9" t="s">
        <v>43</v>
      </c>
      <c r="E140" s="18">
        <v>500</v>
      </c>
      <c r="F140" s="18">
        <v>250</v>
      </c>
      <c r="H140" s="10"/>
      <c r="I140" s="10"/>
      <c r="L140" s="10"/>
      <c r="M140" s="10"/>
    </row>
    <row r="141" spans="2:13" ht="30" customHeight="1" x14ac:dyDescent="0.25">
      <c r="B141" s="11">
        <v>134</v>
      </c>
      <c r="C141" s="9" t="s">
        <v>272</v>
      </c>
      <c r="D141" s="9" t="s">
        <v>43</v>
      </c>
      <c r="E141" s="18">
        <v>500</v>
      </c>
      <c r="F141" s="18">
        <v>200</v>
      </c>
      <c r="H141" s="10"/>
      <c r="I141" s="10"/>
      <c r="L141" s="10"/>
      <c r="M141" s="10"/>
    </row>
    <row r="142" spans="2:13" ht="30" customHeight="1" x14ac:dyDescent="0.25">
      <c r="B142" s="11">
        <v>135</v>
      </c>
      <c r="C142" s="9" t="s">
        <v>274</v>
      </c>
      <c r="D142" s="9" t="s">
        <v>43</v>
      </c>
      <c r="E142" s="18">
        <v>500</v>
      </c>
      <c r="F142" s="18">
        <v>250</v>
      </c>
      <c r="H142" s="10"/>
      <c r="I142" s="10"/>
      <c r="L142" s="10"/>
      <c r="M142" s="10"/>
    </row>
    <row r="143" spans="2:13" ht="30" customHeight="1" x14ac:dyDescent="0.25">
      <c r="B143" s="11">
        <v>136</v>
      </c>
      <c r="C143" s="9" t="s">
        <v>273</v>
      </c>
      <c r="D143" s="9" t="s">
        <v>43</v>
      </c>
      <c r="E143" s="18">
        <v>500</v>
      </c>
      <c r="F143" s="18">
        <v>250</v>
      </c>
      <c r="H143" s="10"/>
      <c r="I143" s="10"/>
      <c r="L143" s="10"/>
      <c r="M143" s="10"/>
    </row>
    <row r="144" spans="2:13" ht="30" customHeight="1" x14ac:dyDescent="0.25">
      <c r="B144" s="11">
        <v>137</v>
      </c>
      <c r="C144" s="9" t="s">
        <v>275</v>
      </c>
      <c r="D144" s="9" t="s">
        <v>43</v>
      </c>
      <c r="E144" s="18">
        <v>500</v>
      </c>
      <c r="F144" s="18">
        <v>350</v>
      </c>
      <c r="H144" s="10"/>
      <c r="I144" s="10"/>
      <c r="L144" s="10"/>
      <c r="M144" s="10"/>
    </row>
    <row r="145" spans="2:13" ht="30" customHeight="1" x14ac:dyDescent="0.25">
      <c r="B145" s="11">
        <v>138</v>
      </c>
      <c r="C145" s="9" t="s">
        <v>164</v>
      </c>
      <c r="D145" s="9" t="s">
        <v>43</v>
      </c>
      <c r="E145" s="18">
        <v>500</v>
      </c>
      <c r="F145" s="18">
        <v>200</v>
      </c>
      <c r="H145" s="10"/>
      <c r="I145" s="10"/>
      <c r="L145" s="10"/>
      <c r="M145" s="10"/>
    </row>
    <row r="146" spans="2:13" ht="30" customHeight="1" x14ac:dyDescent="0.25">
      <c r="B146" s="11">
        <v>139</v>
      </c>
      <c r="C146" s="9" t="s">
        <v>168</v>
      </c>
      <c r="D146" s="9" t="s">
        <v>43</v>
      </c>
      <c r="E146" s="18">
        <v>500</v>
      </c>
      <c r="F146" s="18">
        <v>200</v>
      </c>
      <c r="H146" s="10"/>
      <c r="I146" s="10"/>
      <c r="L146" s="10"/>
      <c r="M146" s="10"/>
    </row>
    <row r="147" spans="2:13" ht="30" customHeight="1" x14ac:dyDescent="0.25">
      <c r="B147" s="11">
        <v>140</v>
      </c>
      <c r="C147" s="9" t="s">
        <v>278</v>
      </c>
      <c r="D147" s="9" t="s">
        <v>43</v>
      </c>
      <c r="E147" s="18">
        <v>500</v>
      </c>
      <c r="F147" s="18">
        <v>250</v>
      </c>
      <c r="H147" s="10"/>
      <c r="I147" s="10"/>
      <c r="L147" s="10"/>
      <c r="M147" s="10"/>
    </row>
    <row r="148" spans="2:13" ht="30" customHeight="1" x14ac:dyDescent="0.25">
      <c r="B148" s="11">
        <v>141</v>
      </c>
      <c r="C148" s="9" t="s">
        <v>277</v>
      </c>
      <c r="D148" s="9" t="s">
        <v>43</v>
      </c>
      <c r="E148" s="18">
        <v>500</v>
      </c>
      <c r="F148" s="18">
        <v>200</v>
      </c>
      <c r="H148" s="10"/>
      <c r="I148" s="10"/>
      <c r="L148" s="10"/>
      <c r="M148" s="10"/>
    </row>
    <row r="149" spans="2:13" ht="30" customHeight="1" x14ac:dyDescent="0.25">
      <c r="B149" s="11">
        <v>142</v>
      </c>
      <c r="C149" s="9" t="s">
        <v>392</v>
      </c>
      <c r="D149" s="9" t="s">
        <v>43</v>
      </c>
      <c r="E149" s="18">
        <v>500</v>
      </c>
      <c r="F149" s="18">
        <v>250</v>
      </c>
      <c r="H149" s="10"/>
      <c r="I149" s="10"/>
      <c r="L149" s="10"/>
      <c r="M149" s="10"/>
    </row>
    <row r="150" spans="2:13" ht="30" customHeight="1" x14ac:dyDescent="0.25">
      <c r="B150" s="11">
        <v>143</v>
      </c>
      <c r="C150" s="9" t="s">
        <v>280</v>
      </c>
      <c r="D150" s="9" t="s">
        <v>43</v>
      </c>
      <c r="E150" s="18">
        <v>500</v>
      </c>
      <c r="F150" s="18">
        <v>250</v>
      </c>
      <c r="H150" s="10"/>
      <c r="I150" s="10"/>
      <c r="L150" s="10"/>
      <c r="M150" s="10"/>
    </row>
    <row r="151" spans="2:13" ht="30" customHeight="1" x14ac:dyDescent="0.25">
      <c r="B151" s="11">
        <v>144</v>
      </c>
      <c r="C151" s="9" t="s">
        <v>281</v>
      </c>
      <c r="D151" s="9" t="s">
        <v>43</v>
      </c>
      <c r="E151" s="18">
        <v>500</v>
      </c>
      <c r="F151" s="18">
        <v>250</v>
      </c>
      <c r="H151" s="10"/>
      <c r="I151" s="10"/>
      <c r="L151" s="10"/>
      <c r="M151" s="10"/>
    </row>
    <row r="152" spans="2:13" ht="30" customHeight="1" x14ac:dyDescent="0.25">
      <c r="B152" s="11">
        <v>145</v>
      </c>
      <c r="C152" s="9" t="s">
        <v>282</v>
      </c>
      <c r="D152" s="9" t="s">
        <v>43</v>
      </c>
      <c r="E152" s="18">
        <v>500</v>
      </c>
      <c r="F152" s="18">
        <v>1500</v>
      </c>
      <c r="H152" s="10"/>
      <c r="I152" s="10"/>
      <c r="L152" s="10"/>
      <c r="M152" s="10"/>
    </row>
    <row r="153" spans="2:13" ht="30" customHeight="1" x14ac:dyDescent="0.25">
      <c r="B153" s="11">
        <v>146</v>
      </c>
      <c r="C153" s="9" t="s">
        <v>283</v>
      </c>
      <c r="D153" s="9" t="s">
        <v>43</v>
      </c>
      <c r="E153" s="18">
        <v>500</v>
      </c>
      <c r="F153" s="18">
        <v>1500</v>
      </c>
      <c r="L153" s="10"/>
      <c r="M153" s="10"/>
    </row>
    <row r="154" spans="2:13" ht="30" customHeight="1" x14ac:dyDescent="0.25">
      <c r="B154" s="11">
        <v>147</v>
      </c>
      <c r="C154" s="9" t="s">
        <v>284</v>
      </c>
      <c r="D154" s="9" t="s">
        <v>43</v>
      </c>
      <c r="E154" s="18">
        <v>500</v>
      </c>
      <c r="F154" s="18">
        <v>1500</v>
      </c>
      <c r="L154" s="10"/>
      <c r="M154" s="10"/>
    </row>
    <row r="155" spans="2:13" ht="30" customHeight="1" x14ac:dyDescent="0.25">
      <c r="B155" s="11">
        <v>148</v>
      </c>
      <c r="C155" s="9" t="s">
        <v>285</v>
      </c>
      <c r="D155" s="9" t="s">
        <v>43</v>
      </c>
      <c r="E155" s="18">
        <v>500</v>
      </c>
      <c r="F155" s="18">
        <v>1500</v>
      </c>
      <c r="L155" s="10"/>
      <c r="M155" s="10"/>
    </row>
    <row r="156" spans="2:13" ht="30" customHeight="1" x14ac:dyDescent="0.25">
      <c r="B156" s="11">
        <v>149</v>
      </c>
      <c r="C156" s="9" t="s">
        <v>286</v>
      </c>
      <c r="D156" s="9" t="s">
        <v>43</v>
      </c>
      <c r="E156" s="18">
        <v>500</v>
      </c>
      <c r="F156" s="18">
        <v>1500</v>
      </c>
      <c r="L156" s="10"/>
      <c r="M156" s="10"/>
    </row>
    <row r="157" spans="2:13" ht="30" customHeight="1" x14ac:dyDescent="0.25">
      <c r="B157" s="11">
        <v>150</v>
      </c>
      <c r="C157" s="9" t="s">
        <v>287</v>
      </c>
      <c r="D157" s="9" t="s">
        <v>43</v>
      </c>
      <c r="E157" s="18">
        <v>500</v>
      </c>
      <c r="F157" s="18">
        <v>1500</v>
      </c>
      <c r="L157" s="10"/>
      <c r="M157" s="10"/>
    </row>
    <row r="158" spans="2:13" ht="30" customHeight="1" x14ac:dyDescent="0.25">
      <c r="B158" s="11">
        <v>151</v>
      </c>
      <c r="C158" s="9" t="s">
        <v>288</v>
      </c>
      <c r="D158" s="9" t="s">
        <v>43</v>
      </c>
      <c r="E158" s="18">
        <v>500</v>
      </c>
      <c r="F158" s="18">
        <v>600</v>
      </c>
      <c r="L158" s="10"/>
      <c r="M158" s="10"/>
    </row>
    <row r="159" spans="2:13" ht="30" customHeight="1" x14ac:dyDescent="0.25">
      <c r="B159" s="11">
        <v>152</v>
      </c>
      <c r="C159" s="9" t="s">
        <v>289</v>
      </c>
      <c r="D159" s="9" t="s">
        <v>43</v>
      </c>
      <c r="E159" s="18">
        <v>500</v>
      </c>
      <c r="F159" s="18">
        <v>1800</v>
      </c>
      <c r="L159" s="10"/>
      <c r="M159" s="10"/>
    </row>
    <row r="160" spans="2:13" ht="30" customHeight="1" x14ac:dyDescent="0.25">
      <c r="B160" s="11">
        <v>153</v>
      </c>
      <c r="C160" s="9" t="s">
        <v>290</v>
      </c>
      <c r="D160" s="9" t="s">
        <v>43</v>
      </c>
      <c r="E160" s="18">
        <v>500</v>
      </c>
      <c r="F160" s="18">
        <v>600</v>
      </c>
      <c r="L160" s="10"/>
      <c r="M160" s="10"/>
    </row>
    <row r="161" spans="2:13" ht="30" customHeight="1" x14ac:dyDescent="0.25">
      <c r="B161" s="11">
        <v>154</v>
      </c>
      <c r="C161" s="9" t="s">
        <v>291</v>
      </c>
      <c r="D161" s="9" t="s">
        <v>43</v>
      </c>
      <c r="E161" s="18">
        <v>500</v>
      </c>
      <c r="F161" s="18">
        <v>1200</v>
      </c>
      <c r="L161" s="10"/>
      <c r="M161" s="10"/>
    </row>
    <row r="162" spans="2:13" ht="30" customHeight="1" x14ac:dyDescent="0.25">
      <c r="B162" s="11">
        <v>155</v>
      </c>
      <c r="C162" s="9" t="s">
        <v>292</v>
      </c>
      <c r="D162" s="9" t="s">
        <v>43</v>
      </c>
      <c r="E162" s="18">
        <v>500</v>
      </c>
      <c r="F162" s="18">
        <v>600</v>
      </c>
      <c r="L162" s="10"/>
      <c r="M162" s="10"/>
    </row>
    <row r="163" spans="2:13" ht="30" customHeight="1" x14ac:dyDescent="0.25">
      <c r="B163" s="11">
        <v>156</v>
      </c>
      <c r="C163" s="9" t="s">
        <v>293</v>
      </c>
      <c r="D163" s="9" t="s">
        <v>43</v>
      </c>
      <c r="E163" s="18">
        <v>500</v>
      </c>
      <c r="F163" s="18">
        <v>1500</v>
      </c>
      <c r="L163" s="10"/>
      <c r="M163" s="10"/>
    </row>
    <row r="164" spans="2:13" ht="30" customHeight="1" x14ac:dyDescent="0.25">
      <c r="B164" s="11">
        <v>157</v>
      </c>
      <c r="C164" s="9" t="s">
        <v>268</v>
      </c>
      <c r="D164" s="9" t="s">
        <v>43</v>
      </c>
      <c r="E164" s="18">
        <v>750</v>
      </c>
      <c r="F164" s="18">
        <v>250</v>
      </c>
      <c r="L164" s="10"/>
      <c r="M164" s="10"/>
    </row>
    <row r="165" spans="2:13" ht="30" customHeight="1" x14ac:dyDescent="0.25">
      <c r="B165" s="11">
        <v>158</v>
      </c>
      <c r="C165" s="9" t="s">
        <v>410</v>
      </c>
      <c r="D165" s="9" t="s">
        <v>43</v>
      </c>
      <c r="E165" s="18">
        <v>750</v>
      </c>
      <c r="F165" s="18">
        <v>500</v>
      </c>
      <c r="L165" s="10"/>
      <c r="M165" s="10"/>
    </row>
    <row r="166" spans="2:13" ht="30" customHeight="1" x14ac:dyDescent="0.25">
      <c r="B166" s="11">
        <v>159</v>
      </c>
      <c r="C166" s="9" t="s">
        <v>415</v>
      </c>
      <c r="D166" s="9" t="s">
        <v>43</v>
      </c>
      <c r="E166" s="18">
        <v>750</v>
      </c>
      <c r="F166" s="18">
        <v>300</v>
      </c>
      <c r="L166" s="10"/>
      <c r="M166" s="10"/>
    </row>
    <row r="167" spans="2:13" ht="30" customHeight="1" x14ac:dyDescent="0.25">
      <c r="B167" s="11">
        <v>160</v>
      </c>
      <c r="C167" s="9" t="s">
        <v>315</v>
      </c>
      <c r="D167" s="9" t="s">
        <v>43</v>
      </c>
      <c r="E167" s="18">
        <v>750</v>
      </c>
      <c r="F167" s="18">
        <v>250</v>
      </c>
      <c r="L167" s="10"/>
      <c r="M167" s="10"/>
    </row>
    <row r="168" spans="2:13" ht="30" customHeight="1" x14ac:dyDescent="0.25">
      <c r="B168" s="11">
        <v>161</v>
      </c>
      <c r="C168" s="9" t="s">
        <v>411</v>
      </c>
      <c r="D168" s="9" t="s">
        <v>43</v>
      </c>
      <c r="E168" s="18">
        <v>750</v>
      </c>
      <c r="F168" s="18">
        <v>500</v>
      </c>
      <c r="L168" s="10"/>
      <c r="M168" s="10"/>
    </row>
    <row r="169" spans="2:13" ht="30" customHeight="1" x14ac:dyDescent="0.25">
      <c r="B169" s="11">
        <v>162</v>
      </c>
      <c r="C169" s="9" t="s">
        <v>412</v>
      </c>
      <c r="D169" s="9" t="s">
        <v>43</v>
      </c>
      <c r="E169" s="18">
        <v>750</v>
      </c>
      <c r="F169" s="18">
        <v>700</v>
      </c>
      <c r="L169" s="10"/>
      <c r="M169" s="10"/>
    </row>
    <row r="170" spans="2:13" ht="30" customHeight="1" x14ac:dyDescent="0.25">
      <c r="B170" s="11">
        <v>163</v>
      </c>
      <c r="C170" s="9" t="s">
        <v>417</v>
      </c>
      <c r="D170" s="9" t="s">
        <v>43</v>
      </c>
      <c r="E170" s="18">
        <v>750</v>
      </c>
      <c r="F170" s="18">
        <v>200</v>
      </c>
      <c r="L170" s="10"/>
      <c r="M170" s="10"/>
    </row>
    <row r="171" spans="2:13" ht="30" customHeight="1" x14ac:dyDescent="0.25">
      <c r="B171" s="11">
        <v>164</v>
      </c>
      <c r="C171" s="9" t="s">
        <v>422</v>
      </c>
      <c r="D171" s="9" t="s">
        <v>43</v>
      </c>
      <c r="E171" s="18">
        <v>750</v>
      </c>
      <c r="F171" s="18">
        <v>200</v>
      </c>
      <c r="L171" s="10"/>
      <c r="M171" s="10"/>
    </row>
    <row r="172" spans="2:13" ht="30" customHeight="1" x14ac:dyDescent="0.25">
      <c r="B172" s="11">
        <v>165</v>
      </c>
      <c r="C172" s="9" t="s">
        <v>423</v>
      </c>
      <c r="D172" s="9" t="s">
        <v>43</v>
      </c>
      <c r="E172" s="18">
        <v>750</v>
      </c>
      <c r="F172" s="18">
        <v>600</v>
      </c>
      <c r="L172" s="10"/>
      <c r="M172" s="10"/>
    </row>
    <row r="173" spans="2:13" ht="30" customHeight="1" x14ac:dyDescent="0.25">
      <c r="B173" s="11">
        <v>166</v>
      </c>
      <c r="C173" s="9" t="s">
        <v>427</v>
      </c>
      <c r="D173" s="9" t="s">
        <v>43</v>
      </c>
      <c r="E173" s="18">
        <v>750</v>
      </c>
      <c r="F173" s="18">
        <v>500</v>
      </c>
      <c r="L173" s="10"/>
      <c r="M173" s="10"/>
    </row>
    <row r="174" spans="2:13" ht="30" customHeight="1" x14ac:dyDescent="0.25">
      <c r="B174" s="11">
        <v>167</v>
      </c>
      <c r="C174" s="9" t="s">
        <v>421</v>
      </c>
      <c r="D174" s="9" t="s">
        <v>43</v>
      </c>
      <c r="E174" s="18">
        <v>750</v>
      </c>
      <c r="F174" s="18">
        <v>100</v>
      </c>
      <c r="L174" s="10"/>
      <c r="M174" s="10"/>
    </row>
    <row r="175" spans="2:13" ht="30" customHeight="1" x14ac:dyDescent="0.25">
      <c r="B175" s="11">
        <v>168</v>
      </c>
      <c r="C175" s="9" t="s">
        <v>458</v>
      </c>
      <c r="D175" s="9" t="s">
        <v>43</v>
      </c>
      <c r="E175" s="18">
        <v>750</v>
      </c>
      <c r="F175" s="18">
        <v>450</v>
      </c>
      <c r="L175" s="10"/>
      <c r="M175" s="10"/>
    </row>
    <row r="176" spans="2:13" ht="30" customHeight="1" x14ac:dyDescent="0.25">
      <c r="B176" s="11">
        <v>169</v>
      </c>
      <c r="C176" s="9" t="s">
        <v>459</v>
      </c>
      <c r="D176" s="9" t="s">
        <v>43</v>
      </c>
      <c r="E176" s="18">
        <v>750</v>
      </c>
      <c r="F176" s="18">
        <v>450</v>
      </c>
      <c r="L176" s="10"/>
      <c r="M176" s="10"/>
    </row>
    <row r="177" spans="2:13" ht="30" customHeight="1" x14ac:dyDescent="0.25">
      <c r="B177" s="11">
        <v>170</v>
      </c>
      <c r="C177" s="9" t="s">
        <v>428</v>
      </c>
      <c r="D177" s="9" t="s">
        <v>43</v>
      </c>
      <c r="E177" s="18">
        <v>750</v>
      </c>
      <c r="F177" s="18">
        <v>150</v>
      </c>
      <c r="L177" s="10"/>
      <c r="M177" s="10"/>
    </row>
    <row r="178" spans="2:13" ht="30" customHeight="1" x14ac:dyDescent="0.25">
      <c r="B178" s="11">
        <v>171</v>
      </c>
      <c r="C178" s="9" t="s">
        <v>424</v>
      </c>
      <c r="D178" s="9" t="s">
        <v>43</v>
      </c>
      <c r="E178" s="18">
        <v>750</v>
      </c>
      <c r="F178" s="18">
        <v>150</v>
      </c>
      <c r="L178" s="10"/>
      <c r="M178" s="10"/>
    </row>
    <row r="179" spans="2:13" ht="30" customHeight="1" x14ac:dyDescent="0.25">
      <c r="B179" s="11">
        <v>172</v>
      </c>
      <c r="C179" s="9" t="s">
        <v>447</v>
      </c>
      <c r="D179" s="9" t="s">
        <v>43</v>
      </c>
      <c r="E179" s="18">
        <v>750</v>
      </c>
      <c r="F179" s="18">
        <v>450</v>
      </c>
      <c r="L179" s="10"/>
      <c r="M179" s="10"/>
    </row>
    <row r="180" spans="2:13" ht="30" customHeight="1" x14ac:dyDescent="0.25">
      <c r="B180" s="11">
        <v>173</v>
      </c>
      <c r="C180" s="9" t="s">
        <v>457</v>
      </c>
      <c r="D180" s="9" t="s">
        <v>43</v>
      </c>
      <c r="E180" s="18">
        <v>750</v>
      </c>
      <c r="F180" s="18">
        <v>150</v>
      </c>
      <c r="L180" s="10"/>
      <c r="M180" s="10"/>
    </row>
    <row r="181" spans="2:13" ht="30" customHeight="1" x14ac:dyDescent="0.25">
      <c r="B181" s="11">
        <v>174</v>
      </c>
      <c r="C181" s="9" t="s">
        <v>420</v>
      </c>
      <c r="D181" s="9" t="s">
        <v>43</v>
      </c>
      <c r="E181" s="18">
        <v>750</v>
      </c>
      <c r="F181" s="18">
        <v>150</v>
      </c>
      <c r="L181" s="10"/>
      <c r="M181" s="10"/>
    </row>
    <row r="182" spans="2:13" ht="30" customHeight="1" x14ac:dyDescent="0.25">
      <c r="B182" s="11">
        <v>175</v>
      </c>
      <c r="C182" s="9" t="s">
        <v>460</v>
      </c>
      <c r="D182" s="9" t="s">
        <v>43</v>
      </c>
      <c r="E182" s="18">
        <v>750</v>
      </c>
      <c r="F182" s="18">
        <v>150</v>
      </c>
      <c r="L182" s="10"/>
      <c r="M182" s="10"/>
    </row>
    <row r="183" spans="2:13" ht="30" customHeight="1" x14ac:dyDescent="0.25">
      <c r="B183" s="11">
        <v>176</v>
      </c>
      <c r="C183" s="9" t="s">
        <v>461</v>
      </c>
      <c r="D183" s="9" t="s">
        <v>43</v>
      </c>
      <c r="E183" s="18">
        <v>750</v>
      </c>
      <c r="F183" s="18">
        <v>300</v>
      </c>
      <c r="L183" s="10"/>
      <c r="M183" s="10"/>
    </row>
    <row r="184" spans="2:13" ht="30" customHeight="1" x14ac:dyDescent="0.25">
      <c r="B184" s="11">
        <v>177</v>
      </c>
      <c r="C184" s="9" t="s">
        <v>449</v>
      </c>
      <c r="D184" s="9" t="s">
        <v>43</v>
      </c>
      <c r="E184" s="18">
        <v>750</v>
      </c>
      <c r="F184" s="18">
        <v>900</v>
      </c>
      <c r="L184" s="10"/>
      <c r="M184" s="10"/>
    </row>
    <row r="185" spans="2:13" ht="30" customHeight="1" x14ac:dyDescent="0.25">
      <c r="B185" s="11">
        <v>178</v>
      </c>
      <c r="C185" s="9" t="s">
        <v>426</v>
      </c>
      <c r="D185" s="9" t="s">
        <v>43</v>
      </c>
      <c r="E185" s="18">
        <v>750</v>
      </c>
      <c r="F185" s="18">
        <v>300</v>
      </c>
      <c r="L185" s="10"/>
      <c r="M185" s="10"/>
    </row>
    <row r="186" spans="2:13" ht="30" customHeight="1" x14ac:dyDescent="0.25">
      <c r="B186" s="11">
        <v>179</v>
      </c>
      <c r="C186" s="9" t="s">
        <v>450</v>
      </c>
      <c r="D186" s="9" t="s">
        <v>43</v>
      </c>
      <c r="E186" s="18">
        <v>750</v>
      </c>
      <c r="F186" s="18">
        <v>300</v>
      </c>
      <c r="L186" s="10"/>
      <c r="M186" s="10"/>
    </row>
    <row r="187" spans="2:13" ht="30" customHeight="1" x14ac:dyDescent="0.25">
      <c r="B187" s="11">
        <v>180</v>
      </c>
      <c r="C187" s="9" t="s">
        <v>469</v>
      </c>
      <c r="D187" s="9" t="s">
        <v>43</v>
      </c>
      <c r="E187" s="18">
        <v>750</v>
      </c>
      <c r="F187" s="18">
        <v>1500</v>
      </c>
      <c r="L187" s="10"/>
      <c r="M187" s="10"/>
    </row>
    <row r="188" spans="2:13" ht="30" customHeight="1" x14ac:dyDescent="0.25">
      <c r="B188" s="11">
        <v>181</v>
      </c>
      <c r="C188" s="9" t="s">
        <v>431</v>
      </c>
      <c r="D188" s="9" t="s">
        <v>43</v>
      </c>
      <c r="E188" s="18">
        <v>750</v>
      </c>
      <c r="F188" s="18">
        <v>600</v>
      </c>
      <c r="L188" s="10"/>
      <c r="M188" s="10"/>
    </row>
    <row r="189" spans="2:13" ht="30" customHeight="1" x14ac:dyDescent="0.25">
      <c r="B189" s="11">
        <v>182</v>
      </c>
      <c r="C189" s="9" t="s">
        <v>433</v>
      </c>
      <c r="D189" s="9" t="s">
        <v>43</v>
      </c>
      <c r="E189" s="18">
        <v>750</v>
      </c>
      <c r="F189" s="18">
        <v>1000</v>
      </c>
      <c r="L189" s="10"/>
      <c r="M189" s="10"/>
    </row>
    <row r="190" spans="2:13" ht="30" customHeight="1" x14ac:dyDescent="0.25">
      <c r="B190" s="11">
        <v>183</v>
      </c>
      <c r="C190" s="9" t="s">
        <v>435</v>
      </c>
      <c r="D190" s="9" t="s">
        <v>43</v>
      </c>
      <c r="E190" s="18">
        <v>750</v>
      </c>
      <c r="F190" s="18">
        <v>1000</v>
      </c>
      <c r="L190" s="10"/>
      <c r="M190" s="10"/>
    </row>
    <row r="191" spans="2:13" ht="30" customHeight="1" x14ac:dyDescent="0.25">
      <c r="B191" s="11">
        <v>184</v>
      </c>
      <c r="C191" s="9" t="s">
        <v>488</v>
      </c>
      <c r="D191" s="9" t="s">
        <v>43</v>
      </c>
      <c r="E191" s="18">
        <v>1500</v>
      </c>
      <c r="F191" s="18">
        <v>250</v>
      </c>
      <c r="L191" s="10"/>
      <c r="M191" s="10"/>
    </row>
    <row r="192" spans="2:13" ht="30" customHeight="1" x14ac:dyDescent="0.25">
      <c r="B192" s="11">
        <v>185</v>
      </c>
      <c r="C192" s="9" t="s">
        <v>489</v>
      </c>
      <c r="D192" s="9" t="s">
        <v>43</v>
      </c>
      <c r="E192" s="18">
        <v>1500</v>
      </c>
      <c r="F192" s="18">
        <v>250</v>
      </c>
      <c r="L192" s="10"/>
      <c r="M192" s="10"/>
    </row>
    <row r="193" spans="2:13" ht="30" customHeight="1" x14ac:dyDescent="0.25">
      <c r="B193" s="11">
        <v>186</v>
      </c>
      <c r="C193" s="9" t="s">
        <v>490</v>
      </c>
      <c r="D193" s="9" t="s">
        <v>43</v>
      </c>
      <c r="E193" s="18">
        <v>1500</v>
      </c>
      <c r="F193" s="18">
        <v>300</v>
      </c>
      <c r="L193" s="10"/>
      <c r="M193" s="10"/>
    </row>
    <row r="194" spans="2:13" ht="30" customHeight="1" x14ac:dyDescent="0.25">
      <c r="B194" s="11">
        <v>187</v>
      </c>
      <c r="C194" s="9" t="s">
        <v>491</v>
      </c>
      <c r="D194" s="9" t="s">
        <v>43</v>
      </c>
      <c r="E194" s="18">
        <v>1500</v>
      </c>
      <c r="F194" s="18">
        <v>350</v>
      </c>
      <c r="L194" s="10"/>
      <c r="M194" s="10"/>
    </row>
    <row r="195" spans="2:13" ht="30" customHeight="1" x14ac:dyDescent="0.25">
      <c r="B195" s="11">
        <v>188</v>
      </c>
      <c r="C195" s="9" t="s">
        <v>492</v>
      </c>
      <c r="D195" s="9" t="s">
        <v>43</v>
      </c>
      <c r="E195" s="18">
        <v>1500</v>
      </c>
      <c r="F195" s="18">
        <v>350</v>
      </c>
      <c r="L195" s="10"/>
      <c r="M195" s="10"/>
    </row>
    <row r="196" spans="2:13" ht="30" customHeight="1" x14ac:dyDescent="0.25">
      <c r="B196" s="11">
        <v>189</v>
      </c>
      <c r="C196" s="9" t="s">
        <v>493</v>
      </c>
      <c r="D196" s="9" t="s">
        <v>43</v>
      </c>
      <c r="E196" s="18">
        <v>1500</v>
      </c>
      <c r="F196" s="18">
        <v>300</v>
      </c>
      <c r="L196" s="10"/>
      <c r="M196" s="10"/>
    </row>
    <row r="197" spans="2:13" ht="30" customHeight="1" x14ac:dyDescent="0.25">
      <c r="B197" s="11">
        <v>190</v>
      </c>
      <c r="C197" s="9" t="s">
        <v>504</v>
      </c>
      <c r="D197" s="9" t="s">
        <v>43</v>
      </c>
      <c r="E197" s="18">
        <v>1500</v>
      </c>
      <c r="F197" s="18">
        <v>100</v>
      </c>
      <c r="L197" s="10"/>
      <c r="M197" s="10"/>
    </row>
    <row r="198" spans="2:13" ht="30" customHeight="1" x14ac:dyDescent="0.25">
      <c r="B198" s="11">
        <v>191</v>
      </c>
      <c r="C198" s="9" t="s">
        <v>505</v>
      </c>
      <c r="D198" s="9" t="s">
        <v>43</v>
      </c>
      <c r="E198" s="18">
        <v>1500</v>
      </c>
      <c r="F198" s="18">
        <v>150</v>
      </c>
      <c r="L198" s="10"/>
      <c r="M198" s="10"/>
    </row>
    <row r="199" spans="2:13" ht="30" customHeight="1" x14ac:dyDescent="0.25">
      <c r="B199" s="11">
        <v>192</v>
      </c>
      <c r="C199" s="9" t="s">
        <v>506</v>
      </c>
      <c r="D199" s="9" t="s">
        <v>43</v>
      </c>
      <c r="E199" s="18">
        <v>1500</v>
      </c>
      <c r="F199" s="18">
        <v>200</v>
      </c>
      <c r="L199" s="10"/>
      <c r="M199" s="10"/>
    </row>
    <row r="200" spans="2:13" ht="30" customHeight="1" x14ac:dyDescent="0.25">
      <c r="B200" s="11">
        <v>193</v>
      </c>
      <c r="C200" s="9" t="s">
        <v>487</v>
      </c>
      <c r="D200" s="9" t="s">
        <v>43</v>
      </c>
      <c r="E200" s="18">
        <v>1500</v>
      </c>
      <c r="F200" s="18">
        <v>300</v>
      </c>
      <c r="L200" s="10"/>
      <c r="M200" s="10"/>
    </row>
    <row r="201" spans="2:13" ht="30" customHeight="1" x14ac:dyDescent="0.25">
      <c r="B201" s="11">
        <v>194</v>
      </c>
      <c r="C201" s="9" t="s">
        <v>474</v>
      </c>
      <c r="D201" s="9" t="s">
        <v>43</v>
      </c>
      <c r="E201" s="18">
        <v>1500</v>
      </c>
      <c r="F201" s="18">
        <v>1500</v>
      </c>
      <c r="L201" s="10"/>
      <c r="M201" s="10"/>
    </row>
    <row r="202" spans="2:13" ht="30" customHeight="1" x14ac:dyDescent="0.25">
      <c r="B202" s="11">
        <v>195</v>
      </c>
      <c r="C202" s="9" t="s">
        <v>393</v>
      </c>
      <c r="D202" s="9" t="s">
        <v>43</v>
      </c>
      <c r="E202" s="18">
        <v>3500</v>
      </c>
      <c r="F202" s="18">
        <v>1000</v>
      </c>
      <c r="L202" s="10"/>
      <c r="M202" s="10"/>
    </row>
    <row r="203" spans="2:13" ht="30" customHeight="1" x14ac:dyDescent="0.25">
      <c r="B203" s="11">
        <v>196</v>
      </c>
      <c r="C203" s="9" t="s">
        <v>337</v>
      </c>
      <c r="D203" s="9" t="s">
        <v>43</v>
      </c>
      <c r="E203" s="18">
        <v>3500</v>
      </c>
      <c r="F203" s="18">
        <v>350</v>
      </c>
      <c r="L203" s="10"/>
      <c r="M203" s="10"/>
    </row>
    <row r="204" spans="2:13" ht="30" customHeight="1" x14ac:dyDescent="0.25">
      <c r="B204" s="11">
        <v>197</v>
      </c>
      <c r="C204" s="9" t="s">
        <v>338</v>
      </c>
      <c r="D204" s="9" t="s">
        <v>43</v>
      </c>
      <c r="E204" s="18">
        <v>3500</v>
      </c>
      <c r="F204" s="18">
        <v>500</v>
      </c>
      <c r="L204" s="10"/>
      <c r="M204" s="10"/>
    </row>
    <row r="205" spans="2:13" ht="30" customHeight="1" x14ac:dyDescent="0.25">
      <c r="B205" s="11">
        <v>198</v>
      </c>
      <c r="C205" s="9" t="s">
        <v>339</v>
      </c>
      <c r="D205" s="9" t="s">
        <v>43</v>
      </c>
      <c r="E205" s="18">
        <v>3500</v>
      </c>
      <c r="F205" s="18">
        <v>500</v>
      </c>
      <c r="L205" s="10"/>
      <c r="M205" s="10"/>
    </row>
    <row r="206" spans="2:13" ht="30" customHeight="1" x14ac:dyDescent="0.25">
      <c r="B206" s="11">
        <v>199</v>
      </c>
      <c r="C206" s="9" t="s">
        <v>316</v>
      </c>
      <c r="D206" s="9" t="s">
        <v>43</v>
      </c>
      <c r="E206" s="18">
        <v>3500</v>
      </c>
      <c r="F206" s="18">
        <v>450</v>
      </c>
      <c r="L206" s="10"/>
      <c r="M206" s="10"/>
    </row>
    <row r="207" spans="2:13" ht="30" customHeight="1" x14ac:dyDescent="0.25">
      <c r="B207" s="11">
        <v>200</v>
      </c>
      <c r="C207" s="9" t="s">
        <v>317</v>
      </c>
      <c r="D207" s="9" t="s">
        <v>43</v>
      </c>
      <c r="E207" s="18">
        <v>3500</v>
      </c>
      <c r="F207" s="18">
        <v>450</v>
      </c>
      <c r="L207" s="10"/>
      <c r="M207" s="10"/>
    </row>
    <row r="208" spans="2:13" ht="30" customHeight="1" x14ac:dyDescent="0.25">
      <c r="B208" s="11">
        <v>201</v>
      </c>
      <c r="C208" s="9" t="s">
        <v>318</v>
      </c>
      <c r="D208" s="9" t="s">
        <v>43</v>
      </c>
      <c r="E208" s="18">
        <v>3500</v>
      </c>
      <c r="F208" s="18">
        <v>450</v>
      </c>
      <c r="L208" s="10"/>
      <c r="M208" s="10"/>
    </row>
    <row r="209" spans="2:13" ht="30" customHeight="1" x14ac:dyDescent="0.25">
      <c r="B209" s="11">
        <v>202</v>
      </c>
      <c r="C209" s="9" t="s">
        <v>396</v>
      </c>
      <c r="D209" s="9" t="s">
        <v>43</v>
      </c>
      <c r="E209" s="18">
        <v>5000</v>
      </c>
      <c r="F209" s="18">
        <v>500</v>
      </c>
      <c r="L209" s="10"/>
      <c r="M209" s="10"/>
    </row>
    <row r="210" spans="2:13" ht="30" customHeight="1" x14ac:dyDescent="0.25">
      <c r="B210" s="11">
        <v>203</v>
      </c>
      <c r="C210" s="9" t="s">
        <v>398</v>
      </c>
      <c r="D210" s="9" t="s">
        <v>43</v>
      </c>
      <c r="E210" s="18">
        <v>5000</v>
      </c>
      <c r="F210" s="18">
        <v>500</v>
      </c>
      <c r="L210" s="10"/>
      <c r="M210" s="10"/>
    </row>
    <row r="211" spans="2:13" ht="30" customHeight="1" x14ac:dyDescent="0.25">
      <c r="B211" s="11">
        <v>204</v>
      </c>
      <c r="C211" s="9" t="s">
        <v>399</v>
      </c>
      <c r="D211" s="9" t="s">
        <v>43</v>
      </c>
      <c r="E211" s="18">
        <v>5000</v>
      </c>
      <c r="F211" s="18">
        <v>400</v>
      </c>
      <c r="L211" s="10"/>
      <c r="M211" s="10"/>
    </row>
    <row r="212" spans="2:13" ht="30" customHeight="1" x14ac:dyDescent="0.25">
      <c r="B212" s="11">
        <v>205</v>
      </c>
      <c r="C212" s="9" t="s">
        <v>394</v>
      </c>
      <c r="D212" s="9" t="s">
        <v>43</v>
      </c>
      <c r="E212" s="18">
        <v>5000</v>
      </c>
      <c r="F212" s="18">
        <v>500</v>
      </c>
      <c r="L212" s="10"/>
      <c r="M212" s="10"/>
    </row>
    <row r="213" spans="2:13" ht="30" customHeight="1" x14ac:dyDescent="0.25">
      <c r="B213" s="11">
        <v>206</v>
      </c>
      <c r="C213" s="9" t="s">
        <v>392</v>
      </c>
      <c r="D213" s="9" t="s">
        <v>43</v>
      </c>
      <c r="E213" s="18">
        <v>5000</v>
      </c>
      <c r="F213" s="18">
        <v>1500</v>
      </c>
      <c r="L213" s="10"/>
      <c r="M213" s="10"/>
    </row>
    <row r="214" spans="2:13" ht="30" customHeight="1" x14ac:dyDescent="0.25">
      <c r="B214" s="11">
        <v>207</v>
      </c>
      <c r="C214" s="9" t="s">
        <v>169</v>
      </c>
      <c r="D214" s="9" t="s">
        <v>43</v>
      </c>
      <c r="E214" s="18">
        <v>5000</v>
      </c>
      <c r="F214" s="18">
        <v>500</v>
      </c>
      <c r="L214" s="10"/>
      <c r="M214" s="10"/>
    </row>
    <row r="215" spans="2:13" ht="30" customHeight="1" x14ac:dyDescent="0.25">
      <c r="B215" s="11">
        <v>208</v>
      </c>
      <c r="C215" s="9" t="s">
        <v>401</v>
      </c>
      <c r="D215" s="9" t="s">
        <v>43</v>
      </c>
      <c r="E215" s="18">
        <v>5000</v>
      </c>
      <c r="F215" s="18">
        <v>750</v>
      </c>
      <c r="L215" s="10"/>
      <c r="M215" s="10"/>
    </row>
    <row r="216" spans="2:13" ht="30" customHeight="1" x14ac:dyDescent="0.25">
      <c r="B216" s="11">
        <v>209</v>
      </c>
      <c r="C216" s="9" t="s">
        <v>397</v>
      </c>
      <c r="D216" s="9" t="s">
        <v>43</v>
      </c>
      <c r="E216" s="18">
        <v>5000</v>
      </c>
      <c r="F216" s="18">
        <v>500</v>
      </c>
      <c r="L216" s="10"/>
      <c r="M216" s="10"/>
    </row>
    <row r="217" spans="2:13" ht="30" customHeight="1" x14ac:dyDescent="0.25">
      <c r="B217" s="11">
        <v>210</v>
      </c>
      <c r="C217" s="9" t="s">
        <v>402</v>
      </c>
      <c r="D217" s="9" t="s">
        <v>43</v>
      </c>
      <c r="E217" s="18">
        <v>5000</v>
      </c>
      <c r="F217" s="18">
        <v>750</v>
      </c>
      <c r="L217" s="10"/>
      <c r="M217" s="10"/>
    </row>
    <row r="218" spans="2:13" ht="30" customHeight="1" x14ac:dyDescent="0.25">
      <c r="B218" s="11">
        <v>211</v>
      </c>
      <c r="C218" s="9" t="s">
        <v>395</v>
      </c>
      <c r="D218" s="9" t="s">
        <v>43</v>
      </c>
      <c r="E218" s="18">
        <v>5000</v>
      </c>
      <c r="F218" s="18">
        <v>400</v>
      </c>
      <c r="L218" s="10"/>
      <c r="M218" s="10"/>
    </row>
    <row r="219" spans="2:13" ht="30" customHeight="1" x14ac:dyDescent="0.25">
      <c r="B219" s="11">
        <v>212</v>
      </c>
      <c r="C219" s="9" t="s">
        <v>165</v>
      </c>
      <c r="D219" s="9" t="s">
        <v>43</v>
      </c>
      <c r="E219" s="18">
        <v>5000</v>
      </c>
      <c r="F219" s="18">
        <v>250</v>
      </c>
      <c r="L219" s="10"/>
      <c r="M219" s="10"/>
    </row>
    <row r="220" spans="2:13" ht="30" customHeight="1" x14ac:dyDescent="0.25">
      <c r="B220" s="11">
        <v>213</v>
      </c>
      <c r="C220" s="9" t="s">
        <v>400</v>
      </c>
      <c r="D220" s="9" t="s">
        <v>43</v>
      </c>
      <c r="E220" s="18">
        <v>5000</v>
      </c>
      <c r="F220" s="18">
        <v>500</v>
      </c>
      <c r="L220" s="10"/>
      <c r="M220" s="10"/>
    </row>
    <row r="221" spans="2:13" ht="30" customHeight="1" x14ac:dyDescent="0.25">
      <c r="B221" s="11">
        <v>214</v>
      </c>
      <c r="C221" s="9" t="s">
        <v>437</v>
      </c>
      <c r="D221" s="9" t="s">
        <v>43</v>
      </c>
      <c r="E221" s="18">
        <v>5000</v>
      </c>
      <c r="F221" s="18">
        <v>200</v>
      </c>
      <c r="L221" s="10"/>
      <c r="M221" s="10"/>
    </row>
    <row r="222" spans="2:13" ht="30" customHeight="1" x14ac:dyDescent="0.25">
      <c r="B222" s="11">
        <v>215</v>
      </c>
      <c r="C222" s="9" t="s">
        <v>403</v>
      </c>
      <c r="D222" s="9" t="s">
        <v>43</v>
      </c>
      <c r="E222" s="18">
        <v>5000</v>
      </c>
      <c r="F222" s="18">
        <v>400</v>
      </c>
      <c r="L222" s="10"/>
      <c r="M222" s="10"/>
    </row>
    <row r="223" spans="2:13" ht="30" customHeight="1" x14ac:dyDescent="0.25">
      <c r="B223" s="11">
        <v>216</v>
      </c>
      <c r="C223" s="9" t="s">
        <v>404</v>
      </c>
      <c r="D223" s="9" t="s">
        <v>43</v>
      </c>
      <c r="E223" s="18">
        <v>5000</v>
      </c>
      <c r="F223" s="18">
        <v>3000</v>
      </c>
      <c r="L223" s="10"/>
      <c r="M223" s="10"/>
    </row>
    <row r="224" spans="2:13" ht="30" customHeight="1" x14ac:dyDescent="0.25">
      <c r="B224" s="11">
        <v>217</v>
      </c>
      <c r="C224" s="9" t="s">
        <v>405</v>
      </c>
      <c r="D224" s="9" t="s">
        <v>43</v>
      </c>
      <c r="E224" s="18">
        <v>5000</v>
      </c>
      <c r="F224" s="18">
        <v>3000</v>
      </c>
      <c r="L224" s="10"/>
      <c r="M224" s="10"/>
    </row>
    <row r="225" spans="2:13" ht="30" customHeight="1" x14ac:dyDescent="0.25">
      <c r="B225" s="11">
        <v>218</v>
      </c>
      <c r="C225" s="9" t="s">
        <v>406</v>
      </c>
      <c r="D225" s="9" t="s">
        <v>43</v>
      </c>
      <c r="E225" s="18">
        <v>5000</v>
      </c>
      <c r="F225" s="18">
        <v>3000</v>
      </c>
      <c r="L225" s="10"/>
      <c r="M225" s="10"/>
    </row>
    <row r="226" spans="2:13" ht="30" customHeight="1" x14ac:dyDescent="0.25">
      <c r="B226" s="11">
        <v>219</v>
      </c>
      <c r="C226" s="9" t="s">
        <v>407</v>
      </c>
      <c r="D226" s="9" t="s">
        <v>43</v>
      </c>
      <c r="E226" s="18">
        <v>5000</v>
      </c>
      <c r="F226" s="18">
        <v>3000</v>
      </c>
      <c r="L226" s="10"/>
      <c r="M226" s="10"/>
    </row>
    <row r="227" spans="2:13" ht="30" customHeight="1" x14ac:dyDescent="0.25">
      <c r="B227" s="11">
        <v>220</v>
      </c>
      <c r="C227" s="9" t="s">
        <v>444</v>
      </c>
      <c r="D227" s="9" t="s">
        <v>43</v>
      </c>
      <c r="E227" s="18">
        <v>5000</v>
      </c>
      <c r="F227" s="18">
        <v>1800</v>
      </c>
      <c r="L227" s="10"/>
      <c r="M227" s="10"/>
    </row>
    <row r="228" spans="2:13" ht="30" customHeight="1" x14ac:dyDescent="0.25">
      <c r="B228" s="11">
        <v>221</v>
      </c>
      <c r="C228" s="9" t="s">
        <v>448</v>
      </c>
      <c r="D228" s="9" t="s">
        <v>43</v>
      </c>
      <c r="E228" s="18">
        <v>5000</v>
      </c>
      <c r="F228" s="18">
        <v>1800</v>
      </c>
      <c r="L228" s="10"/>
      <c r="M228" s="10"/>
    </row>
    <row r="229" spans="2:13" ht="30" customHeight="1" x14ac:dyDescent="0.25">
      <c r="B229" s="11">
        <v>222</v>
      </c>
      <c r="C229" s="9" t="s">
        <v>442</v>
      </c>
      <c r="D229" s="9" t="s">
        <v>43</v>
      </c>
      <c r="E229" s="18">
        <v>5000</v>
      </c>
      <c r="F229" s="18">
        <v>5400</v>
      </c>
      <c r="L229" s="10"/>
      <c r="M229" s="10"/>
    </row>
    <row r="230" spans="2:13" ht="30" customHeight="1" x14ac:dyDescent="0.25">
      <c r="B230" s="11">
        <v>223</v>
      </c>
      <c r="C230" s="9" t="s">
        <v>443</v>
      </c>
      <c r="D230" s="9" t="s">
        <v>43</v>
      </c>
      <c r="E230" s="18">
        <v>5000</v>
      </c>
      <c r="F230" s="18">
        <v>1800</v>
      </c>
      <c r="L230" s="10"/>
      <c r="M230" s="10"/>
    </row>
    <row r="231" spans="2:13" ht="30" customHeight="1" x14ac:dyDescent="0.25">
      <c r="B231" s="11">
        <v>224</v>
      </c>
      <c r="C231" s="9" t="s">
        <v>446</v>
      </c>
      <c r="D231" s="9" t="s">
        <v>43</v>
      </c>
      <c r="E231" s="18">
        <v>5000</v>
      </c>
      <c r="F231" s="18">
        <v>3600</v>
      </c>
      <c r="L231" s="10"/>
      <c r="M231" s="10"/>
    </row>
    <row r="232" spans="2:13" ht="30" customHeight="1" x14ac:dyDescent="0.25">
      <c r="B232" s="11">
        <v>225</v>
      </c>
      <c r="C232" s="9" t="s">
        <v>445</v>
      </c>
      <c r="D232" s="9" t="s">
        <v>43</v>
      </c>
      <c r="E232" s="18">
        <v>5000</v>
      </c>
      <c r="F232" s="18">
        <v>1800</v>
      </c>
      <c r="L232" s="10"/>
      <c r="M232" s="10"/>
    </row>
    <row r="233" spans="2:13" ht="30" customHeight="1" x14ac:dyDescent="0.25">
      <c r="B233" s="11">
        <v>226</v>
      </c>
      <c r="C233" s="9" t="s">
        <v>413</v>
      </c>
      <c r="D233" s="9" t="s">
        <v>43</v>
      </c>
      <c r="E233" s="18">
        <v>7500</v>
      </c>
      <c r="F233" s="18">
        <v>1000</v>
      </c>
      <c r="L233" s="10"/>
      <c r="M233" s="10"/>
    </row>
    <row r="234" spans="2:13" ht="30" customHeight="1" x14ac:dyDescent="0.25">
      <c r="B234" s="11">
        <v>227</v>
      </c>
      <c r="C234" s="9" t="s">
        <v>414</v>
      </c>
      <c r="D234" s="9" t="s">
        <v>43</v>
      </c>
      <c r="E234" s="18">
        <v>7500</v>
      </c>
      <c r="F234" s="18">
        <v>1500</v>
      </c>
      <c r="L234" s="10"/>
      <c r="M234" s="10"/>
    </row>
    <row r="235" spans="2:13" ht="30" customHeight="1" x14ac:dyDescent="0.25">
      <c r="B235" s="11">
        <v>228</v>
      </c>
      <c r="C235" s="9" t="s">
        <v>418</v>
      </c>
      <c r="D235" s="9" t="s">
        <v>43</v>
      </c>
      <c r="E235" s="18">
        <v>7500</v>
      </c>
      <c r="F235" s="18">
        <v>300</v>
      </c>
      <c r="L235" s="10"/>
      <c r="M235" s="10"/>
    </row>
    <row r="236" spans="2:13" ht="30" customHeight="1" x14ac:dyDescent="0.25">
      <c r="B236" s="11">
        <v>229</v>
      </c>
      <c r="C236" s="9" t="s">
        <v>419</v>
      </c>
      <c r="D236" s="9" t="s">
        <v>43</v>
      </c>
      <c r="E236" s="18">
        <v>7500</v>
      </c>
      <c r="F236" s="18">
        <v>400</v>
      </c>
      <c r="L236" s="10"/>
      <c r="M236" s="10"/>
    </row>
    <row r="237" spans="2:13" ht="30" customHeight="1" x14ac:dyDescent="0.25">
      <c r="B237" s="11">
        <v>230</v>
      </c>
      <c r="C237" s="9" t="s">
        <v>425</v>
      </c>
      <c r="D237" s="9" t="s">
        <v>43</v>
      </c>
      <c r="E237" s="18">
        <v>7500</v>
      </c>
      <c r="F237" s="18">
        <v>700</v>
      </c>
      <c r="L237" s="10"/>
      <c r="M237" s="10"/>
    </row>
    <row r="238" spans="2:13" ht="30" customHeight="1" x14ac:dyDescent="0.25">
      <c r="B238" s="11">
        <v>231</v>
      </c>
      <c r="C238" s="9" t="s">
        <v>429</v>
      </c>
      <c r="D238" s="9" t="s">
        <v>43</v>
      </c>
      <c r="E238" s="18">
        <v>7500</v>
      </c>
      <c r="F238" s="18">
        <v>500</v>
      </c>
      <c r="L238" s="10"/>
      <c r="M238" s="10"/>
    </row>
    <row r="239" spans="2:13" ht="30" customHeight="1" x14ac:dyDescent="0.25">
      <c r="B239" s="11">
        <v>232</v>
      </c>
      <c r="C239" s="9" t="s">
        <v>430</v>
      </c>
      <c r="D239" s="9" t="s">
        <v>43</v>
      </c>
      <c r="E239" s="18">
        <v>7500</v>
      </c>
      <c r="F239" s="18">
        <v>600</v>
      </c>
      <c r="L239" s="10"/>
      <c r="M239" s="10"/>
    </row>
    <row r="240" spans="2:13" ht="30" customHeight="1" x14ac:dyDescent="0.25">
      <c r="B240" s="11">
        <v>233</v>
      </c>
      <c r="C240" s="9" t="s">
        <v>432</v>
      </c>
      <c r="D240" s="9" t="s">
        <v>43</v>
      </c>
      <c r="E240" s="18">
        <v>7500</v>
      </c>
      <c r="F240" s="18">
        <v>1000</v>
      </c>
      <c r="L240" s="10"/>
      <c r="M240" s="10"/>
    </row>
    <row r="241" spans="2:13" ht="30" customHeight="1" x14ac:dyDescent="0.25">
      <c r="B241" s="11">
        <v>234</v>
      </c>
      <c r="C241" s="9" t="s">
        <v>434</v>
      </c>
      <c r="D241" s="9" t="s">
        <v>43</v>
      </c>
      <c r="E241" s="18">
        <v>7500</v>
      </c>
      <c r="F241" s="18">
        <v>2000</v>
      </c>
      <c r="L241" s="10"/>
      <c r="M241" s="10"/>
    </row>
    <row r="242" spans="2:13" ht="30" customHeight="1" x14ac:dyDescent="0.25">
      <c r="B242" s="11">
        <v>235</v>
      </c>
      <c r="C242" s="9" t="s">
        <v>436</v>
      </c>
      <c r="D242" s="9" t="s">
        <v>43</v>
      </c>
      <c r="E242" s="18">
        <v>7500</v>
      </c>
      <c r="F242" s="18">
        <v>2000</v>
      </c>
      <c r="L242" s="10"/>
      <c r="M242" s="10"/>
    </row>
    <row r="243" spans="2:13" ht="30" customHeight="1" x14ac:dyDescent="0.25">
      <c r="B243" s="11">
        <v>236</v>
      </c>
      <c r="C243" s="9" t="s">
        <v>438</v>
      </c>
      <c r="D243" s="9" t="s">
        <v>43</v>
      </c>
      <c r="E243" s="18">
        <v>7500</v>
      </c>
      <c r="F243" s="18">
        <v>2500</v>
      </c>
      <c r="L243" s="10"/>
      <c r="M243" s="10"/>
    </row>
    <row r="244" spans="2:13" ht="30" customHeight="1" x14ac:dyDescent="0.25">
      <c r="B244" s="11">
        <v>237</v>
      </c>
      <c r="C244" s="9" t="s">
        <v>439</v>
      </c>
      <c r="D244" s="9" t="s">
        <v>43</v>
      </c>
      <c r="E244" s="18">
        <v>7500</v>
      </c>
      <c r="F244" s="18">
        <v>450</v>
      </c>
      <c r="L244" s="10"/>
      <c r="M244" s="10"/>
    </row>
    <row r="245" spans="2:13" ht="30" customHeight="1" x14ac:dyDescent="0.25">
      <c r="B245" s="11">
        <v>238</v>
      </c>
      <c r="C245" s="9" t="s">
        <v>440</v>
      </c>
      <c r="D245" s="9" t="s">
        <v>43</v>
      </c>
      <c r="E245" s="18">
        <v>7500</v>
      </c>
      <c r="F245" s="18">
        <v>1350</v>
      </c>
      <c r="L245" s="10"/>
      <c r="M245" s="10"/>
    </row>
    <row r="246" spans="2:13" ht="30" customHeight="1" x14ac:dyDescent="0.25">
      <c r="B246" s="11">
        <v>239</v>
      </c>
      <c r="C246" s="9" t="s">
        <v>441</v>
      </c>
      <c r="D246" s="9" t="s">
        <v>43</v>
      </c>
      <c r="E246" s="18">
        <v>7500</v>
      </c>
      <c r="F246" s="18">
        <v>1350</v>
      </c>
      <c r="L246" s="10"/>
      <c r="M246" s="10"/>
    </row>
    <row r="247" spans="2:13" ht="30" customHeight="1" x14ac:dyDescent="0.25">
      <c r="B247" s="11">
        <v>240</v>
      </c>
      <c r="C247" s="9" t="s">
        <v>416</v>
      </c>
      <c r="D247" s="9" t="s">
        <v>43</v>
      </c>
      <c r="E247" s="18">
        <v>7500</v>
      </c>
      <c r="F247" s="18">
        <v>900</v>
      </c>
      <c r="L247" s="10"/>
      <c r="M247" s="10"/>
    </row>
    <row r="248" spans="2:13" ht="30" customHeight="1" x14ac:dyDescent="0.25">
      <c r="B248" s="11">
        <v>241</v>
      </c>
      <c r="C248" s="9" t="s">
        <v>451</v>
      </c>
      <c r="D248" s="9" t="s">
        <v>43</v>
      </c>
      <c r="E248" s="18">
        <v>7500</v>
      </c>
      <c r="F248" s="18">
        <v>450</v>
      </c>
      <c r="L248" s="10"/>
      <c r="M248" s="10"/>
    </row>
    <row r="249" spans="2:13" ht="30" customHeight="1" x14ac:dyDescent="0.25">
      <c r="B249" s="11">
        <v>242</v>
      </c>
      <c r="C249" s="9" t="s">
        <v>452</v>
      </c>
      <c r="D249" s="9" t="s">
        <v>43</v>
      </c>
      <c r="E249" s="18">
        <v>7500</v>
      </c>
      <c r="F249" s="18">
        <v>900</v>
      </c>
      <c r="L249" s="10"/>
      <c r="M249" s="10"/>
    </row>
    <row r="250" spans="2:13" ht="30" customHeight="1" x14ac:dyDescent="0.25">
      <c r="B250" s="11">
        <v>243</v>
      </c>
      <c r="C250" s="9" t="s">
        <v>453</v>
      </c>
      <c r="D250" s="9" t="s">
        <v>43</v>
      </c>
      <c r="E250" s="18">
        <v>7500</v>
      </c>
      <c r="F250" s="18">
        <v>450</v>
      </c>
      <c r="L250" s="10"/>
      <c r="M250" s="10"/>
    </row>
    <row r="251" spans="2:13" ht="30" customHeight="1" x14ac:dyDescent="0.25">
      <c r="B251" s="11">
        <v>244</v>
      </c>
      <c r="C251" s="9" t="s">
        <v>456</v>
      </c>
      <c r="D251" s="9" t="s">
        <v>43</v>
      </c>
      <c r="E251" s="18">
        <v>7500</v>
      </c>
      <c r="F251" s="18">
        <v>900</v>
      </c>
      <c r="L251" s="10"/>
      <c r="M251" s="10"/>
    </row>
    <row r="252" spans="2:13" ht="30" customHeight="1" x14ac:dyDescent="0.25">
      <c r="B252" s="11">
        <v>245</v>
      </c>
      <c r="C252" s="9" t="s">
        <v>454</v>
      </c>
      <c r="D252" s="9" t="s">
        <v>43</v>
      </c>
      <c r="E252" s="18">
        <v>7500</v>
      </c>
      <c r="F252" s="18">
        <v>900</v>
      </c>
      <c r="L252" s="10"/>
      <c r="M252" s="10"/>
    </row>
    <row r="253" spans="2:13" ht="30" customHeight="1" x14ac:dyDescent="0.25">
      <c r="B253" s="11">
        <v>246</v>
      </c>
      <c r="C253" s="9" t="s">
        <v>455</v>
      </c>
      <c r="D253" s="9" t="s">
        <v>43</v>
      </c>
      <c r="E253" s="18">
        <v>7500</v>
      </c>
      <c r="F253" s="18">
        <v>900</v>
      </c>
      <c r="L253" s="10"/>
      <c r="M253" s="10"/>
    </row>
    <row r="254" spans="2:13" ht="30" customHeight="1" x14ac:dyDescent="0.25">
      <c r="B254" s="11">
        <v>247</v>
      </c>
      <c r="C254" s="9" t="s">
        <v>467</v>
      </c>
      <c r="D254" s="9" t="s">
        <v>43</v>
      </c>
      <c r="E254" s="18">
        <v>7500</v>
      </c>
      <c r="F254" s="18">
        <v>2500</v>
      </c>
      <c r="L254" s="10"/>
      <c r="M254" s="10"/>
    </row>
    <row r="255" spans="2:13" ht="30" customHeight="1" x14ac:dyDescent="0.25">
      <c r="B255" s="11">
        <v>248</v>
      </c>
      <c r="C255" s="9" t="s">
        <v>468</v>
      </c>
      <c r="D255" s="9" t="s">
        <v>43</v>
      </c>
      <c r="E255" s="18">
        <v>7500</v>
      </c>
      <c r="F255" s="18">
        <v>2500</v>
      </c>
      <c r="L255" s="10"/>
      <c r="M255" s="10"/>
    </row>
    <row r="256" spans="2:13" ht="30" customHeight="1" x14ac:dyDescent="0.25">
      <c r="B256" s="11">
        <v>249</v>
      </c>
      <c r="C256" s="9" t="s">
        <v>470</v>
      </c>
      <c r="D256" s="9" t="s">
        <v>43</v>
      </c>
      <c r="E256" s="18">
        <v>7500</v>
      </c>
      <c r="F256" s="18">
        <v>2500</v>
      </c>
      <c r="L256" s="10"/>
      <c r="M256" s="10"/>
    </row>
    <row r="257" spans="2:13" ht="30" customHeight="1" x14ac:dyDescent="0.25">
      <c r="B257" s="11">
        <v>250</v>
      </c>
      <c r="C257" s="9" t="s">
        <v>471</v>
      </c>
      <c r="D257" s="9" t="s">
        <v>43</v>
      </c>
      <c r="E257" s="18">
        <v>7500</v>
      </c>
      <c r="F257" s="18">
        <v>2500</v>
      </c>
      <c r="L257" s="10"/>
      <c r="M257" s="10"/>
    </row>
    <row r="258" spans="2:13" ht="30" customHeight="1" x14ac:dyDescent="0.25">
      <c r="B258" s="11">
        <v>251</v>
      </c>
      <c r="C258" s="9" t="s">
        <v>472</v>
      </c>
      <c r="D258" s="9" t="s">
        <v>43</v>
      </c>
      <c r="E258" s="18">
        <v>7500</v>
      </c>
      <c r="F258" s="18">
        <v>2500</v>
      </c>
      <c r="L258" s="10"/>
      <c r="M258" s="10"/>
    </row>
    <row r="259" spans="2:13" ht="30" customHeight="1" x14ac:dyDescent="0.25">
      <c r="B259" s="11">
        <v>252</v>
      </c>
      <c r="C259" s="9" t="s">
        <v>473</v>
      </c>
      <c r="D259" s="9" t="s">
        <v>43</v>
      </c>
      <c r="E259" s="18">
        <v>7500</v>
      </c>
      <c r="F259" s="18">
        <v>2500</v>
      </c>
      <c r="L259" s="10"/>
      <c r="M259" s="10"/>
    </row>
    <row r="260" spans="2:13" ht="30" customHeight="1" x14ac:dyDescent="0.25">
      <c r="B260" s="11">
        <v>253</v>
      </c>
      <c r="C260" s="9" t="s">
        <v>475</v>
      </c>
      <c r="D260" s="9" t="s">
        <v>43</v>
      </c>
      <c r="E260" s="18">
        <v>7500</v>
      </c>
      <c r="F260" s="18">
        <v>2500</v>
      </c>
      <c r="L260" s="10"/>
      <c r="M260" s="10"/>
    </row>
    <row r="261" spans="2:13" ht="30" customHeight="1" x14ac:dyDescent="0.25">
      <c r="B261" s="11">
        <v>254</v>
      </c>
      <c r="C261" s="9" t="s">
        <v>323</v>
      </c>
      <c r="D261" s="9" t="s">
        <v>43</v>
      </c>
      <c r="E261" s="18">
        <v>7500</v>
      </c>
      <c r="F261" s="18">
        <v>1500</v>
      </c>
      <c r="L261" s="10"/>
      <c r="M261" s="10"/>
    </row>
    <row r="262" spans="2:13" ht="30" customHeight="1" x14ac:dyDescent="0.25">
      <c r="B262" s="11">
        <v>255</v>
      </c>
      <c r="C262" s="9" t="s">
        <v>494</v>
      </c>
      <c r="D262" s="9" t="s">
        <v>43</v>
      </c>
      <c r="E262" s="18">
        <v>10000</v>
      </c>
      <c r="F262" s="18">
        <v>350</v>
      </c>
      <c r="L262" s="10"/>
      <c r="M262" s="10"/>
    </row>
    <row r="263" spans="2:13" ht="30" customHeight="1" x14ac:dyDescent="0.25">
      <c r="B263" s="11">
        <v>256</v>
      </c>
      <c r="C263" s="9" t="s">
        <v>495</v>
      </c>
      <c r="D263" s="9" t="s">
        <v>43</v>
      </c>
      <c r="E263" s="18">
        <v>10000</v>
      </c>
      <c r="F263" s="18">
        <v>400</v>
      </c>
      <c r="L263" s="10"/>
      <c r="M263" s="10"/>
    </row>
    <row r="264" spans="2:13" ht="30" customHeight="1" x14ac:dyDescent="0.25">
      <c r="B264" s="11">
        <v>257</v>
      </c>
      <c r="C264" s="9" t="s">
        <v>496</v>
      </c>
      <c r="D264" s="9" t="s">
        <v>43</v>
      </c>
      <c r="E264" s="18">
        <v>10000</v>
      </c>
      <c r="F264" s="18">
        <v>450</v>
      </c>
      <c r="L264" s="10"/>
      <c r="M264" s="10"/>
    </row>
    <row r="265" spans="2:13" ht="30" customHeight="1" x14ac:dyDescent="0.25">
      <c r="B265" s="11">
        <v>258</v>
      </c>
      <c r="C265" s="9" t="s">
        <v>499</v>
      </c>
      <c r="D265" s="9" t="s">
        <v>43</v>
      </c>
      <c r="E265" s="18">
        <v>10000</v>
      </c>
      <c r="F265" s="18">
        <v>450</v>
      </c>
      <c r="L265" s="10"/>
      <c r="M265" s="10"/>
    </row>
    <row r="266" spans="2:13" ht="30" customHeight="1" x14ac:dyDescent="0.25">
      <c r="B266" s="11">
        <v>259</v>
      </c>
      <c r="C266" s="9" t="s">
        <v>500</v>
      </c>
      <c r="D266" s="9" t="s">
        <v>43</v>
      </c>
      <c r="E266" s="18">
        <v>10000</v>
      </c>
      <c r="F266" s="18">
        <v>450</v>
      </c>
      <c r="L266" s="10"/>
      <c r="M266" s="10"/>
    </row>
    <row r="267" spans="2:13" ht="30" customHeight="1" x14ac:dyDescent="0.25">
      <c r="B267" s="11">
        <v>260</v>
      </c>
      <c r="C267" s="9" t="s">
        <v>497</v>
      </c>
      <c r="D267" s="9" t="s">
        <v>43</v>
      </c>
      <c r="E267" s="18">
        <v>10000</v>
      </c>
      <c r="F267" s="18">
        <v>450</v>
      </c>
      <c r="L267" s="10"/>
      <c r="M267" s="10"/>
    </row>
    <row r="268" spans="2:13" ht="30" customHeight="1" x14ac:dyDescent="0.25">
      <c r="B268" s="11">
        <v>261</v>
      </c>
      <c r="C268" s="9" t="s">
        <v>498</v>
      </c>
      <c r="D268" s="9" t="s">
        <v>43</v>
      </c>
      <c r="E268" s="18">
        <v>10000</v>
      </c>
      <c r="F268" s="18">
        <v>450</v>
      </c>
      <c r="L268" s="10"/>
      <c r="M268" s="10"/>
    </row>
    <row r="269" spans="2:13" ht="30" customHeight="1" x14ac:dyDescent="0.25">
      <c r="B269" s="11">
        <v>262</v>
      </c>
      <c r="C269" s="9" t="s">
        <v>502</v>
      </c>
      <c r="D269" s="9" t="s">
        <v>43</v>
      </c>
      <c r="E269" s="18">
        <v>10000</v>
      </c>
      <c r="F269" s="18">
        <v>500</v>
      </c>
      <c r="L269" s="10"/>
      <c r="M269" s="10"/>
    </row>
    <row r="270" spans="2:13" ht="30" customHeight="1" x14ac:dyDescent="0.25">
      <c r="B270" s="11">
        <v>263</v>
      </c>
      <c r="C270" s="9" t="s">
        <v>501</v>
      </c>
      <c r="D270" s="9" t="s">
        <v>43</v>
      </c>
      <c r="E270" s="18">
        <v>10000</v>
      </c>
      <c r="F270" s="18">
        <v>500</v>
      </c>
      <c r="L270" s="10"/>
      <c r="M270" s="10"/>
    </row>
    <row r="271" spans="2:13" ht="30" customHeight="1" x14ac:dyDescent="0.25">
      <c r="B271" s="11">
        <v>264</v>
      </c>
      <c r="C271" s="9" t="s">
        <v>503</v>
      </c>
      <c r="D271" s="9" t="s">
        <v>43</v>
      </c>
      <c r="E271" s="18">
        <v>10000</v>
      </c>
      <c r="F271" s="18">
        <v>200</v>
      </c>
      <c r="L271" s="10"/>
      <c r="M271" s="10"/>
    </row>
    <row r="272" spans="2:13" ht="30" customHeight="1" x14ac:dyDescent="0.25">
      <c r="B272" s="11">
        <v>265</v>
      </c>
      <c r="C272" s="9" t="s">
        <v>507</v>
      </c>
      <c r="D272" s="9" t="s">
        <v>43</v>
      </c>
      <c r="E272" s="18">
        <v>10000</v>
      </c>
      <c r="F272" s="18">
        <v>150</v>
      </c>
      <c r="L272" s="10"/>
      <c r="M272" s="10"/>
    </row>
    <row r="273" spans="2:13" ht="30" customHeight="1" x14ac:dyDescent="0.25">
      <c r="B273" s="11">
        <v>266</v>
      </c>
      <c r="C273" s="9" t="s">
        <v>508</v>
      </c>
      <c r="D273" s="9" t="s">
        <v>43</v>
      </c>
      <c r="E273" s="18">
        <v>10000</v>
      </c>
      <c r="F273" s="18">
        <v>200</v>
      </c>
      <c r="L273" s="10"/>
      <c r="M273" s="10"/>
    </row>
    <row r="274" spans="2:13" ht="30" customHeight="1" x14ac:dyDescent="0.25">
      <c r="B274" s="11">
        <v>267</v>
      </c>
      <c r="C274" s="9" t="s">
        <v>509</v>
      </c>
      <c r="D274" s="9" t="s">
        <v>43</v>
      </c>
      <c r="E274" s="18">
        <v>10000</v>
      </c>
      <c r="F274" s="18">
        <v>200</v>
      </c>
      <c r="L274" s="10"/>
      <c r="M274" s="10"/>
    </row>
    <row r="275" spans="2:13" ht="30" customHeight="1" x14ac:dyDescent="0.25">
      <c r="B275" s="11">
        <v>268</v>
      </c>
      <c r="C275" s="9" t="s">
        <v>510</v>
      </c>
      <c r="D275" s="9" t="s">
        <v>43</v>
      </c>
      <c r="E275" s="18">
        <v>10000</v>
      </c>
      <c r="F275" s="18">
        <v>200</v>
      </c>
      <c r="L275" s="10"/>
      <c r="M275" s="10"/>
    </row>
    <row r="276" spans="2:13" ht="30" customHeight="1" x14ac:dyDescent="0.25">
      <c r="B276" s="11">
        <v>269</v>
      </c>
      <c r="C276" s="9" t="s">
        <v>511</v>
      </c>
      <c r="D276" s="9" t="s">
        <v>43</v>
      </c>
      <c r="E276" s="18">
        <v>10000</v>
      </c>
      <c r="F276" s="18">
        <v>200</v>
      </c>
      <c r="L276" s="10"/>
      <c r="M276" s="10"/>
    </row>
    <row r="277" spans="2:13" ht="30" customHeight="1" x14ac:dyDescent="0.25">
      <c r="B277" s="11">
        <v>270</v>
      </c>
      <c r="C277" s="9" t="s">
        <v>512</v>
      </c>
      <c r="D277" s="9" t="s">
        <v>43</v>
      </c>
      <c r="E277" s="18">
        <v>10000</v>
      </c>
      <c r="F277" s="18">
        <v>450</v>
      </c>
      <c r="L277" s="10"/>
      <c r="M277" s="10"/>
    </row>
    <row r="278" spans="2:13" ht="30" customHeight="1" x14ac:dyDescent="0.25">
      <c r="B278" s="11">
        <v>271</v>
      </c>
      <c r="C278" s="9" t="s">
        <v>513</v>
      </c>
      <c r="D278" s="9" t="s">
        <v>43</v>
      </c>
      <c r="E278" s="18">
        <v>10000</v>
      </c>
      <c r="F278" s="18">
        <v>550</v>
      </c>
      <c r="L278" s="10"/>
      <c r="M278" s="10"/>
    </row>
    <row r="279" spans="2:13" ht="30" customHeight="1" x14ac:dyDescent="0.25">
      <c r="B279" s="11">
        <v>272</v>
      </c>
      <c r="C279" s="9" t="s">
        <v>514</v>
      </c>
      <c r="D279" s="9" t="s">
        <v>43</v>
      </c>
      <c r="E279" s="18">
        <v>10000</v>
      </c>
      <c r="F279" s="18">
        <v>500</v>
      </c>
      <c r="L279" s="10"/>
      <c r="M279" s="10"/>
    </row>
    <row r="280" spans="2:13" ht="30" customHeight="1" x14ac:dyDescent="0.25">
      <c r="B280" s="11">
        <v>273</v>
      </c>
      <c r="C280" s="9" t="s">
        <v>515</v>
      </c>
      <c r="D280" s="9" t="s">
        <v>43</v>
      </c>
      <c r="E280" s="18">
        <v>10000</v>
      </c>
      <c r="F280" s="18">
        <v>550</v>
      </c>
      <c r="L280" s="10"/>
      <c r="M280" s="10"/>
    </row>
    <row r="281" spans="2:13" ht="30" customHeight="1" x14ac:dyDescent="0.25">
      <c r="B281" s="11">
        <v>274</v>
      </c>
      <c r="C281" s="9" t="s">
        <v>516</v>
      </c>
      <c r="D281" s="9" t="s">
        <v>43</v>
      </c>
      <c r="E281" s="18">
        <v>10000</v>
      </c>
      <c r="F281" s="18">
        <v>600</v>
      </c>
      <c r="L281" s="10"/>
      <c r="M281" s="10"/>
    </row>
    <row r="282" spans="2:13" ht="30" customHeight="1" x14ac:dyDescent="0.25">
      <c r="B282" s="11">
        <v>275</v>
      </c>
      <c r="C282" s="9" t="s">
        <v>517</v>
      </c>
      <c r="D282" s="9" t="s">
        <v>43</v>
      </c>
      <c r="E282" s="18">
        <v>10000</v>
      </c>
      <c r="F282" s="18">
        <v>500</v>
      </c>
      <c r="L282" s="10"/>
      <c r="M282" s="10"/>
    </row>
    <row r="283" spans="2:13" ht="30" customHeight="1" x14ac:dyDescent="0.25">
      <c r="B283" s="11">
        <v>276</v>
      </c>
      <c r="C283" s="9" t="s">
        <v>518</v>
      </c>
      <c r="D283" s="9" t="s">
        <v>43</v>
      </c>
      <c r="E283" s="18">
        <v>10000</v>
      </c>
      <c r="F283" s="18">
        <v>400</v>
      </c>
      <c r="L283" s="10"/>
      <c r="M283" s="10"/>
    </row>
    <row r="284" spans="2:13" ht="30" customHeight="1" x14ac:dyDescent="0.25">
      <c r="B284" s="11">
        <v>277</v>
      </c>
      <c r="C284" s="9" t="s">
        <v>519</v>
      </c>
      <c r="D284" s="9" t="s">
        <v>43</v>
      </c>
      <c r="E284" s="18">
        <v>10000</v>
      </c>
      <c r="F284" s="18">
        <v>450</v>
      </c>
      <c r="L284" s="10"/>
      <c r="M284" s="10"/>
    </row>
    <row r="285" spans="2:13" ht="30" customHeight="1" x14ac:dyDescent="0.25">
      <c r="B285" s="11">
        <v>278</v>
      </c>
      <c r="C285" s="9" t="s">
        <v>520</v>
      </c>
      <c r="D285" s="9" t="s">
        <v>43</v>
      </c>
      <c r="E285" s="18">
        <v>10000</v>
      </c>
      <c r="F285" s="18">
        <v>450</v>
      </c>
      <c r="L285" s="10"/>
      <c r="M285" s="10"/>
    </row>
    <row r="286" spans="2:13" ht="30" customHeight="1" x14ac:dyDescent="0.25">
      <c r="B286" s="11">
        <v>279</v>
      </c>
      <c r="C286" s="9" t="s">
        <v>521</v>
      </c>
      <c r="D286" s="9" t="s">
        <v>43</v>
      </c>
      <c r="E286" s="18">
        <v>10000</v>
      </c>
      <c r="F286" s="18">
        <v>500</v>
      </c>
      <c r="L286" s="10"/>
      <c r="M286" s="10"/>
    </row>
    <row r="287" spans="2:13" ht="30" customHeight="1" x14ac:dyDescent="0.25">
      <c r="L287" s="10"/>
      <c r="M287" s="10"/>
    </row>
    <row r="288" spans="2:13" ht="30" customHeight="1" x14ac:dyDescent="0.25">
      <c r="L288" s="10"/>
      <c r="M288" s="10"/>
    </row>
    <row r="289" spans="12:13" ht="30" customHeight="1" x14ac:dyDescent="0.25">
      <c r="L289" s="10"/>
      <c r="M289" s="10"/>
    </row>
    <row r="290" spans="12:13" ht="30" customHeight="1" x14ac:dyDescent="0.25">
      <c r="L290" s="10"/>
      <c r="M290" s="10"/>
    </row>
    <row r="291" spans="12:13" ht="30" customHeight="1" x14ac:dyDescent="0.25">
      <c r="L291" s="10"/>
      <c r="M291" s="10"/>
    </row>
    <row r="292" spans="12:13" ht="30" customHeight="1" x14ac:dyDescent="0.25">
      <c r="L292" s="10"/>
      <c r="M292" s="10"/>
    </row>
    <row r="293" spans="12:13" ht="30" customHeight="1" x14ac:dyDescent="0.25">
      <c r="L293" s="10"/>
      <c r="M293" s="10"/>
    </row>
    <row r="294" spans="12:13" ht="30" customHeight="1" x14ac:dyDescent="0.25">
      <c r="L294" s="10"/>
      <c r="M294" s="10"/>
    </row>
    <row r="295" spans="12:13" ht="30" customHeight="1" x14ac:dyDescent="0.25">
      <c r="L295" s="10"/>
      <c r="M295" s="10"/>
    </row>
    <row r="296" spans="12:13" ht="30" customHeight="1" x14ac:dyDescent="0.25">
      <c r="L296" s="10"/>
      <c r="M296" s="10"/>
    </row>
    <row r="297" spans="12:13" ht="30" customHeight="1" x14ac:dyDescent="0.25">
      <c r="L297" s="10"/>
      <c r="M297" s="10"/>
    </row>
    <row r="298" spans="12:13" ht="30" customHeight="1" x14ac:dyDescent="0.25">
      <c r="L298" s="10"/>
      <c r="M298" s="10"/>
    </row>
    <row r="299" spans="12:13" ht="30" customHeight="1" x14ac:dyDescent="0.25">
      <c r="L299" s="10"/>
      <c r="M299" s="10"/>
    </row>
  </sheetData>
  <conditionalFormatting sqref="H8:I18">
    <cfRule type="expression" dxfId="15" priority="4">
      <formula>IFERROR(INDEX(recipe_scheme_tech_points,MATCH(INDEX(recipe_output_items,MATCH($H8,recipe_output_recipe_ids,0)),recipe_scheme_item,0))&gt;INDEX(tech_tree_current_points,MATCH(INDEX(recipe_scheme_tech_tree,MATCH(INDEX(recipe_output_items,MATCH($H8,recipe_output_recipe_ids,0)),recipe_scheme_item,0)),tech_tree_names,0)),FALSE)</formula>
    </cfRule>
    <cfRule type="expression" dxfId="14" priority="9">
      <formula>AND($C$3&lt;&gt;"",COUNTIFS(recipe_output_items,$C$3,recipe_output_recipe_ids,$H8)&gt;0)</formula>
    </cfRule>
  </conditionalFormatting>
  <conditionalFormatting sqref="K8:M299">
    <cfRule type="expression" dxfId="13" priority="53">
      <formula>IFERROR(INDEX(recipe_scheme_tech_points,MATCH(INDEX(recipe_output_items,MATCH($M8,recipe_output_recipe_ids,0)),recipe_scheme_item,0))&gt;INDEX(tech_tree_current_points,MATCH(INDEX(recipe_scheme_tech_tree,MATCH(INDEX(recipe_output_items,MATCH($M8,recipe_output_recipe_ids,0)),recipe_scheme_item,0)),tech_tree_names,0)),FALSE)</formula>
    </cfRule>
    <cfRule type="expression" dxfId="12" priority="54">
      <formula>AND($C$3&lt;&gt;"",COUNTIFS(recipe_output_items,$C$3,recipe_output_recipe_ids,$M8)&gt;0)</formula>
    </cfRule>
  </conditionalFormatting>
  <conditionalFormatting sqref="O8:P18">
    <cfRule type="expression" dxfId="11" priority="59">
      <formula>IFERROR(INDEX(recipe_scheme_tech_points,MATCH($O8,recipe_scheme_item,0))&gt;INDEX(tech_tree_current_points,MATCH(INDEX(recipe_scheme_tech_tree,MATCH($O8,recipe_scheme_item,0)),tech_tree_names,0)),FALSE)</formula>
    </cfRule>
    <cfRule type="expression" dxfId="10" priority="60">
      <formula>AND($C$3&lt;&gt;"",$O8=$C$3)</formula>
    </cfRule>
  </conditionalFormatting>
  <conditionalFormatting sqref="B8:F286">
    <cfRule type="expression" dxfId="9" priority="6">
      <formula>$E8&gt;INDEX(tech_tree_current_points,MATCH($D8,tech_tree_names,0))</formula>
    </cfRule>
    <cfRule type="expression" dxfId="8" priority="7">
      <formula>AND($C$3&lt;&gt;"",$C8=$C$3)</formula>
    </cfRule>
    <cfRule type="expression" dxfId="7" priority="12">
      <formula>COUNTIF(recipe_scheme_items,$C7)&gt;1</formula>
    </cfRule>
  </conditionalFormatting>
  <conditionalFormatting sqref="Q8:Q18">
    <cfRule type="expression" dxfId="4" priority="1">
      <formula>IFERROR(INDEX(recipe_scheme_tech_points,MATCH(INDEX(recipe_output_items,MATCH($H8,recipe_output_recipe_ids,0)),recipe_scheme_item,0))&gt;INDEX(tech_tree_current_points,MATCH(INDEX(recipe_scheme_tech_tree,MATCH(INDEX(recipe_output_items,MATCH($H8,recipe_output_recipe_ids,0)),recipe_scheme_item,0)),tech_tree_names,0)),FALSE)</formula>
    </cfRule>
    <cfRule type="expression" dxfId="3" priority="2">
      <formula>AND($C$3&lt;&gt;"",COUNTIFS(recipe_output_items,$C$3,recipe_output_recipe_ids,$H8)&gt;0)</formula>
    </cfRule>
  </conditionalFormatting>
  <dataValidations count="3">
    <dataValidation type="list" allowBlank="1" showInputMessage="1" showErrorMessage="1" sqref="M8:M24" xr:uid="{C5C8CAF5-DDAA-4D87-9D58-EA94B978EF8B}">
      <formula1>recipe_ids</formula1>
    </dataValidation>
    <dataValidation type="list" allowBlank="1" showInputMessage="1" showErrorMessage="1" sqref="K8:K24 O8:O18 C3 C8:C286" xr:uid="{BF82080F-59F3-4626-997C-C554379F3ACA}">
      <formula1>item_names</formula1>
    </dataValidation>
    <dataValidation type="list" allowBlank="1" showInputMessage="1" showErrorMessage="1" sqref="D8:D286" xr:uid="{A661D39E-8607-4972-9998-DD20309B6C8D}">
      <formula1>tech_tree_names</formula1>
    </dataValidation>
  </dataValidation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CDC82-C322-4B02-A67F-341D723EE380}">
  <dimension ref="B3:D9"/>
  <sheetViews>
    <sheetView workbookViewId="0">
      <selection activeCell="C10" sqref="C10"/>
    </sheetView>
  </sheetViews>
  <sheetFormatPr defaultColWidth="16.7109375" defaultRowHeight="30" customHeight="1" x14ac:dyDescent="0.25"/>
  <cols>
    <col min="1" max="16384" width="16.7109375" style="1"/>
  </cols>
  <sheetData>
    <row r="3" spans="2:4" ht="30" customHeight="1" x14ac:dyDescent="0.25">
      <c r="B3" s="2" t="s">
        <v>39</v>
      </c>
    </row>
    <row r="5" spans="2:4" ht="30" customHeight="1" x14ac:dyDescent="0.25">
      <c r="B5" s="1" t="s">
        <v>2</v>
      </c>
      <c r="C5" s="1" t="s">
        <v>235</v>
      </c>
      <c r="D5" s="1" t="s">
        <v>238</v>
      </c>
    </row>
    <row r="6" spans="2:4" ht="30" customHeight="1" x14ac:dyDescent="0.25">
      <c r="B6" s="1" t="s">
        <v>40</v>
      </c>
      <c r="C6" s="4">
        <f>_xlfn.MAXIFS(buildings[Tech Tree Points],buildings[Tech Tree],tech_trees[[#This Row],[Name]])</f>
        <v>10000</v>
      </c>
      <c r="D6" s="8">
        <v>39</v>
      </c>
    </row>
    <row r="7" spans="2:4" ht="30" customHeight="1" x14ac:dyDescent="0.25">
      <c r="B7" s="1" t="s">
        <v>42</v>
      </c>
      <c r="C7" s="4">
        <f>_xlfn.MAXIFS(buildings[Tech Tree Points],buildings[Tech Tree],tech_trees[[#This Row],[Name]])</f>
        <v>5000</v>
      </c>
      <c r="D7" s="8">
        <v>9.1999999999999993</v>
      </c>
    </row>
    <row r="8" spans="2:4" ht="30" customHeight="1" x14ac:dyDescent="0.25">
      <c r="B8" s="1" t="s">
        <v>41</v>
      </c>
      <c r="C8" s="4">
        <f>_xlfn.MAXIFS(buildings[Tech Tree Points],buildings[Tech Tree],tech_trees[[#This Row],[Name]])</f>
        <v>10000</v>
      </c>
      <c r="D8" s="8">
        <v>0</v>
      </c>
    </row>
    <row r="9" spans="2:4" ht="30" customHeight="1" x14ac:dyDescent="0.25">
      <c r="B9" s="1" t="s">
        <v>43</v>
      </c>
      <c r="C9" s="4">
        <f>_xlfn.MAXIFS(buildings[Tech Tree Points],buildings[Tech Tree],tech_trees[[#This Row],[Name]])</f>
        <v>10000</v>
      </c>
      <c r="D9" s="8">
        <v>2.5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C8BED-E7F2-4F74-9159-8D3DF7739F5A}">
  <dimension ref="B3:D51"/>
  <sheetViews>
    <sheetView topLeftCell="A4" workbookViewId="0">
      <selection activeCell="E5" sqref="E5"/>
    </sheetView>
  </sheetViews>
  <sheetFormatPr defaultColWidth="16.7109375" defaultRowHeight="30" customHeight="1" x14ac:dyDescent="0.25"/>
  <cols>
    <col min="1" max="1" width="16.7109375" style="1"/>
    <col min="2" max="2" width="24.7109375" style="1" customWidth="1"/>
    <col min="3" max="3" width="16.7109375" style="1"/>
    <col min="4" max="4" width="18.140625" style="3" customWidth="1"/>
    <col min="5" max="16384" width="16.7109375" style="1"/>
  </cols>
  <sheetData>
    <row r="3" spans="2:4" ht="30" customHeight="1" x14ac:dyDescent="0.25">
      <c r="B3" s="2" t="s">
        <v>46</v>
      </c>
    </row>
    <row r="5" spans="2:4" ht="30" customHeight="1" x14ac:dyDescent="0.25">
      <c r="B5" s="1" t="s">
        <v>2</v>
      </c>
      <c r="C5" s="1" t="s">
        <v>44</v>
      </c>
      <c r="D5" s="1" t="s">
        <v>236</v>
      </c>
    </row>
    <row r="6" spans="2:4" ht="30" customHeight="1" x14ac:dyDescent="0.25">
      <c r="B6" s="1" t="s">
        <v>47</v>
      </c>
      <c r="C6" s="1" t="s">
        <v>40</v>
      </c>
      <c r="D6" s="4">
        <v>20</v>
      </c>
    </row>
    <row r="7" spans="2:4" ht="30" customHeight="1" x14ac:dyDescent="0.25">
      <c r="B7" s="1" t="s">
        <v>48</v>
      </c>
      <c r="C7" s="1" t="s">
        <v>40</v>
      </c>
      <c r="D7" s="4">
        <v>50</v>
      </c>
    </row>
    <row r="8" spans="2:4" ht="30" customHeight="1" x14ac:dyDescent="0.25">
      <c r="B8" s="1" t="s">
        <v>54</v>
      </c>
      <c r="C8" s="1" t="s">
        <v>40</v>
      </c>
      <c r="D8" s="4">
        <v>100</v>
      </c>
    </row>
    <row r="9" spans="2:4" ht="30" customHeight="1" x14ac:dyDescent="0.25">
      <c r="B9" s="1" t="s">
        <v>49</v>
      </c>
      <c r="C9" s="1" t="s">
        <v>40</v>
      </c>
      <c r="D9" s="4">
        <v>250</v>
      </c>
    </row>
    <row r="10" spans="2:4" ht="30" customHeight="1" x14ac:dyDescent="0.25">
      <c r="B10" s="1" t="s">
        <v>50</v>
      </c>
      <c r="C10" s="1" t="s">
        <v>40</v>
      </c>
      <c r="D10" s="4">
        <v>500</v>
      </c>
    </row>
    <row r="11" spans="2:4" ht="30" customHeight="1" x14ac:dyDescent="0.25">
      <c r="B11" s="1" t="s">
        <v>51</v>
      </c>
      <c r="C11" s="1" t="s">
        <v>40</v>
      </c>
      <c r="D11" s="4">
        <v>1000</v>
      </c>
    </row>
    <row r="12" spans="2:4" ht="30" customHeight="1" x14ac:dyDescent="0.25">
      <c r="B12" s="1" t="s">
        <v>52</v>
      </c>
      <c r="C12" s="1" t="s">
        <v>40</v>
      </c>
      <c r="D12" s="4">
        <v>1500</v>
      </c>
    </row>
    <row r="13" spans="2:4" ht="30" customHeight="1" x14ac:dyDescent="0.25">
      <c r="B13" s="1" t="s">
        <v>53</v>
      </c>
      <c r="C13" s="1" t="s">
        <v>40</v>
      </c>
      <c r="D13" s="4">
        <v>2500</v>
      </c>
    </row>
    <row r="14" spans="2:4" ht="30" customHeight="1" x14ac:dyDescent="0.25">
      <c r="B14" s="1" t="s">
        <v>55</v>
      </c>
      <c r="C14" s="1" t="s">
        <v>40</v>
      </c>
      <c r="D14" s="4">
        <v>5000</v>
      </c>
    </row>
    <row r="15" spans="2:4" ht="30" customHeight="1" x14ac:dyDescent="0.25">
      <c r="B15" s="1" t="s">
        <v>56</v>
      </c>
      <c r="C15" s="1" t="s">
        <v>40</v>
      </c>
      <c r="D15" s="4">
        <v>7500</v>
      </c>
    </row>
    <row r="16" spans="2:4" ht="30" customHeight="1" x14ac:dyDescent="0.25">
      <c r="B16" s="1" t="s">
        <v>57</v>
      </c>
      <c r="C16" s="1" t="s">
        <v>40</v>
      </c>
      <c r="D16" s="4">
        <v>10000</v>
      </c>
    </row>
    <row r="17" spans="2:4" ht="30" customHeight="1" x14ac:dyDescent="0.25">
      <c r="B17" s="1" t="s">
        <v>58</v>
      </c>
      <c r="C17" s="1" t="s">
        <v>42</v>
      </c>
      <c r="D17" s="4">
        <v>50</v>
      </c>
    </row>
    <row r="18" spans="2:4" ht="30" customHeight="1" x14ac:dyDescent="0.25">
      <c r="B18" s="1" t="s">
        <v>59</v>
      </c>
      <c r="C18" s="1" t="s">
        <v>42</v>
      </c>
      <c r="D18" s="4">
        <v>100</v>
      </c>
    </row>
    <row r="19" spans="2:4" ht="30" customHeight="1" x14ac:dyDescent="0.25">
      <c r="B19" s="1" t="s">
        <v>60</v>
      </c>
      <c r="C19" s="1" t="s">
        <v>42</v>
      </c>
      <c r="D19" s="4">
        <v>500</v>
      </c>
    </row>
    <row r="20" spans="2:4" ht="30" customHeight="1" x14ac:dyDescent="0.25">
      <c r="B20" s="1" t="s">
        <v>61</v>
      </c>
      <c r="C20" s="1" t="s">
        <v>42</v>
      </c>
      <c r="D20" s="4">
        <v>1000</v>
      </c>
    </row>
    <row r="21" spans="2:4" ht="30" customHeight="1" x14ac:dyDescent="0.25">
      <c r="B21" s="1" t="s">
        <v>62</v>
      </c>
      <c r="C21" s="1" t="s">
        <v>42</v>
      </c>
      <c r="D21" s="4">
        <v>2500</v>
      </c>
    </row>
    <row r="22" spans="2:4" ht="30" customHeight="1" x14ac:dyDescent="0.25">
      <c r="B22" s="1" t="s">
        <v>63</v>
      </c>
      <c r="C22" s="1" t="s">
        <v>42</v>
      </c>
      <c r="D22" s="4">
        <v>5000</v>
      </c>
    </row>
    <row r="23" spans="2:4" ht="30" customHeight="1" x14ac:dyDescent="0.25">
      <c r="B23" s="1" t="s">
        <v>64</v>
      </c>
      <c r="C23" s="1" t="s">
        <v>41</v>
      </c>
      <c r="D23" s="4">
        <v>5</v>
      </c>
    </row>
    <row r="24" spans="2:4" ht="30" customHeight="1" x14ac:dyDescent="0.25">
      <c r="B24" s="1" t="s">
        <v>65</v>
      </c>
      <c r="C24" s="1" t="s">
        <v>41</v>
      </c>
      <c r="D24" s="4">
        <v>10</v>
      </c>
    </row>
    <row r="25" spans="2:4" ht="30" customHeight="1" x14ac:dyDescent="0.25">
      <c r="B25" s="1" t="s">
        <v>66</v>
      </c>
      <c r="C25" s="1" t="s">
        <v>41</v>
      </c>
      <c r="D25" s="4">
        <v>15</v>
      </c>
    </row>
    <row r="26" spans="2:4" ht="30" customHeight="1" x14ac:dyDescent="0.25">
      <c r="B26" s="1" t="s">
        <v>67</v>
      </c>
      <c r="C26" s="1" t="s">
        <v>41</v>
      </c>
      <c r="D26" s="4">
        <v>50</v>
      </c>
    </row>
    <row r="27" spans="2:4" ht="30" customHeight="1" x14ac:dyDescent="0.25">
      <c r="B27" s="1" t="s">
        <v>68</v>
      </c>
      <c r="C27" s="1" t="s">
        <v>41</v>
      </c>
      <c r="D27" s="4">
        <v>100</v>
      </c>
    </row>
    <row r="28" spans="2:4" ht="30" customHeight="1" x14ac:dyDescent="0.25">
      <c r="B28" s="1" t="s">
        <v>69</v>
      </c>
      <c r="C28" s="1" t="s">
        <v>41</v>
      </c>
      <c r="D28" s="4">
        <v>250</v>
      </c>
    </row>
    <row r="29" spans="2:4" ht="30" customHeight="1" x14ac:dyDescent="0.25">
      <c r="B29" s="1" t="s">
        <v>70</v>
      </c>
      <c r="C29" s="1" t="s">
        <v>41</v>
      </c>
      <c r="D29" s="4">
        <v>500</v>
      </c>
    </row>
    <row r="30" spans="2:4" ht="30" customHeight="1" x14ac:dyDescent="0.25">
      <c r="B30" s="1" t="s">
        <v>71</v>
      </c>
      <c r="C30" s="1" t="s">
        <v>41</v>
      </c>
      <c r="D30" s="4">
        <v>1000</v>
      </c>
    </row>
    <row r="31" spans="2:4" ht="30" customHeight="1" x14ac:dyDescent="0.25">
      <c r="B31" s="1" t="s">
        <v>72</v>
      </c>
      <c r="C31" s="1" t="s">
        <v>41</v>
      </c>
      <c r="D31" s="4">
        <v>1500</v>
      </c>
    </row>
    <row r="32" spans="2:4" ht="30" customHeight="1" x14ac:dyDescent="0.25">
      <c r="B32" s="1" t="s">
        <v>73</v>
      </c>
      <c r="C32" s="1" t="s">
        <v>41</v>
      </c>
      <c r="D32" s="4">
        <v>2000</v>
      </c>
    </row>
    <row r="33" spans="2:4" ht="30" customHeight="1" x14ac:dyDescent="0.25">
      <c r="B33" s="1" t="s">
        <v>74</v>
      </c>
      <c r="C33" s="1" t="s">
        <v>41</v>
      </c>
      <c r="D33" s="4">
        <v>2500</v>
      </c>
    </row>
    <row r="34" spans="2:4" ht="30" customHeight="1" x14ac:dyDescent="0.25">
      <c r="B34" s="1" t="s">
        <v>75</v>
      </c>
      <c r="C34" s="1" t="s">
        <v>41</v>
      </c>
      <c r="D34" s="4">
        <v>3500</v>
      </c>
    </row>
    <row r="35" spans="2:4" ht="30" customHeight="1" x14ac:dyDescent="0.25">
      <c r="B35" s="1" t="s">
        <v>76</v>
      </c>
      <c r="C35" s="1" t="s">
        <v>41</v>
      </c>
      <c r="D35" s="4">
        <v>5000</v>
      </c>
    </row>
    <row r="36" spans="2:4" ht="30" customHeight="1" x14ac:dyDescent="0.25">
      <c r="B36" s="1" t="s">
        <v>77</v>
      </c>
      <c r="C36" s="1" t="s">
        <v>41</v>
      </c>
      <c r="D36" s="4">
        <v>6500</v>
      </c>
    </row>
    <row r="37" spans="2:4" ht="30" customHeight="1" x14ac:dyDescent="0.25">
      <c r="B37" s="1" t="s">
        <v>78</v>
      </c>
      <c r="C37" s="1" t="s">
        <v>41</v>
      </c>
      <c r="D37" s="4">
        <v>8000</v>
      </c>
    </row>
    <row r="38" spans="2:4" ht="30" customHeight="1" x14ac:dyDescent="0.25">
      <c r="B38" s="1" t="s">
        <v>79</v>
      </c>
      <c r="C38" s="1" t="s">
        <v>41</v>
      </c>
      <c r="D38" s="4">
        <v>10000</v>
      </c>
    </row>
    <row r="39" spans="2:4" ht="30" customHeight="1" x14ac:dyDescent="0.25">
      <c r="B39" s="1" t="s">
        <v>80</v>
      </c>
      <c r="C39" s="1" t="s">
        <v>43</v>
      </c>
      <c r="D39" s="4">
        <v>5</v>
      </c>
    </row>
    <row r="40" spans="2:4" ht="30" customHeight="1" x14ac:dyDescent="0.25">
      <c r="B40" s="1" t="s">
        <v>81</v>
      </c>
      <c r="C40" s="1" t="s">
        <v>43</v>
      </c>
      <c r="D40" s="4">
        <v>25</v>
      </c>
    </row>
    <row r="41" spans="2:4" ht="30" customHeight="1" x14ac:dyDescent="0.25">
      <c r="B41" s="1" t="s">
        <v>82</v>
      </c>
      <c r="C41" s="1" t="s">
        <v>43</v>
      </c>
      <c r="D41" s="4">
        <v>50</v>
      </c>
    </row>
    <row r="42" spans="2:4" ht="30" customHeight="1" x14ac:dyDescent="0.25">
      <c r="B42" s="1" t="s">
        <v>83</v>
      </c>
      <c r="C42" s="1" t="s">
        <v>43</v>
      </c>
      <c r="D42" s="4">
        <v>100</v>
      </c>
    </row>
    <row r="43" spans="2:4" ht="30" customHeight="1" x14ac:dyDescent="0.25">
      <c r="B43" s="1" t="s">
        <v>84</v>
      </c>
      <c r="C43" s="1" t="s">
        <v>43</v>
      </c>
      <c r="D43" s="4">
        <v>250</v>
      </c>
    </row>
    <row r="44" spans="2:4" ht="30" customHeight="1" x14ac:dyDescent="0.25">
      <c r="B44" s="1" t="s">
        <v>85</v>
      </c>
      <c r="C44" s="1" t="s">
        <v>43</v>
      </c>
      <c r="D44" s="4">
        <v>500</v>
      </c>
    </row>
    <row r="45" spans="2:4" ht="30" customHeight="1" x14ac:dyDescent="0.25">
      <c r="B45" s="1" t="s">
        <v>86</v>
      </c>
      <c r="C45" s="1" t="s">
        <v>43</v>
      </c>
      <c r="D45" s="4">
        <v>750</v>
      </c>
    </row>
    <row r="46" spans="2:4" ht="30" customHeight="1" x14ac:dyDescent="0.25">
      <c r="B46" s="1" t="s">
        <v>87</v>
      </c>
      <c r="C46" s="1" t="s">
        <v>43</v>
      </c>
      <c r="D46" s="4">
        <v>1500</v>
      </c>
    </row>
    <row r="47" spans="2:4" ht="30" customHeight="1" x14ac:dyDescent="0.25">
      <c r="B47" s="1" t="s">
        <v>88</v>
      </c>
      <c r="C47" s="1" t="s">
        <v>43</v>
      </c>
      <c r="D47" s="4">
        <v>2500</v>
      </c>
    </row>
    <row r="48" spans="2:4" ht="30" customHeight="1" x14ac:dyDescent="0.25">
      <c r="B48" s="1" t="s">
        <v>89</v>
      </c>
      <c r="C48" s="1" t="s">
        <v>43</v>
      </c>
      <c r="D48" s="4">
        <v>3500</v>
      </c>
    </row>
    <row r="49" spans="2:4" ht="30" customHeight="1" x14ac:dyDescent="0.25">
      <c r="B49" s="1" t="s">
        <v>90</v>
      </c>
      <c r="C49" s="1" t="s">
        <v>43</v>
      </c>
      <c r="D49" s="4">
        <v>5000</v>
      </c>
    </row>
    <row r="50" spans="2:4" ht="30" customHeight="1" x14ac:dyDescent="0.25">
      <c r="B50" s="1" t="s">
        <v>91</v>
      </c>
      <c r="C50" s="1" t="s">
        <v>43</v>
      </c>
      <c r="D50" s="4">
        <v>7500</v>
      </c>
    </row>
    <row r="51" spans="2:4" ht="30" customHeight="1" x14ac:dyDescent="0.25">
      <c r="B51" s="1" t="s">
        <v>92</v>
      </c>
      <c r="C51" s="1" t="s">
        <v>43</v>
      </c>
      <c r="D51" s="4">
        <v>10000</v>
      </c>
    </row>
  </sheetData>
  <dataValidations count="1">
    <dataValidation type="list" allowBlank="1" showInputMessage="1" showErrorMessage="1" sqref="C6:C51" xr:uid="{F4949A23-3D27-4309-A995-E86033E41DD3}">
      <formula1>tech_tree_names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HeadingPairs>
  <TitlesOfParts>
    <vt:vector size="14" baseType="lpstr">
      <vt:lpstr>Items</vt:lpstr>
      <vt:lpstr>Recipes</vt:lpstr>
      <vt:lpstr>Technology Trees</vt:lpstr>
      <vt:lpstr>Buildings</vt:lpstr>
      <vt:lpstr>item_category_names</vt:lpstr>
      <vt:lpstr>item_names</vt:lpstr>
      <vt:lpstr>recipe_ids</vt:lpstr>
      <vt:lpstr>recipe_output_items</vt:lpstr>
      <vt:lpstr>recipe_output_recipe_ids</vt:lpstr>
      <vt:lpstr>recipe_scheme_item</vt:lpstr>
      <vt:lpstr>recipe_scheme_tech_points</vt:lpstr>
      <vt:lpstr>recipe_scheme_tech_tree</vt:lpstr>
      <vt:lpstr>tech_tree_current_points</vt:lpstr>
      <vt:lpstr>tech_tree_names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Wellner (21144192)</dc:creator>
  <cp:lastModifiedBy>Oscar Wellner (21144192)</cp:lastModifiedBy>
  <dcterms:created xsi:type="dcterms:W3CDTF">2026-07-02T07:25:50Z</dcterms:created>
  <dcterms:modified xsi:type="dcterms:W3CDTF">2026-07-09T16:44:55Z</dcterms:modified>
</cp:coreProperties>
</file>